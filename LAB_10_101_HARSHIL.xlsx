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RSHIL VADGASIYA\"/>
    </mc:Choice>
  </mc:AlternateContent>
  <bookViews>
    <workbookView xWindow="0" yWindow="0" windowWidth="28800" windowHeight="12915"/>
  </bookViews>
  <sheets>
    <sheet name="Sheet1" sheetId="1" r:id="rId1"/>
  </sheets>
  <definedNames>
    <definedName name="_xlnm._FilterDatabase" localSheetId="0" hidden="1">Sheet1!$A$1:$K$16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1" l="1"/>
  <c r="J3" i="1"/>
  <c r="K3" i="1" s="1"/>
  <c r="J5" i="1"/>
  <c r="K5" i="1" s="1"/>
  <c r="J9" i="1"/>
  <c r="K9" i="1" s="1"/>
  <c r="J8" i="1"/>
  <c r="K8" i="1" s="1"/>
  <c r="J13" i="1"/>
  <c r="K13" i="1" s="1"/>
  <c r="J16" i="1"/>
  <c r="J10" i="1"/>
  <c r="K10" i="1" s="1"/>
  <c r="J14" i="1"/>
  <c r="K14" i="1" s="1"/>
  <c r="J7" i="1"/>
  <c r="K7" i="1" s="1"/>
  <c r="J4" i="1"/>
  <c r="K4" i="1" s="1"/>
  <c r="J12" i="1"/>
  <c r="K12" i="1" s="1"/>
  <c r="J6" i="1"/>
  <c r="K6" i="1" s="1"/>
  <c r="J15" i="1"/>
  <c r="J11" i="1"/>
  <c r="K11" i="1" s="1"/>
  <c r="J2" i="1"/>
  <c r="K2" i="1" s="1"/>
  <c r="I3" i="1"/>
  <c r="I5" i="1"/>
  <c r="I9" i="1"/>
  <c r="I8" i="1"/>
  <c r="I13" i="1"/>
  <c r="I16" i="1"/>
  <c r="I10" i="1"/>
  <c r="I14" i="1"/>
  <c r="I7" i="1"/>
  <c r="I4" i="1"/>
  <c r="I12" i="1"/>
  <c r="I6" i="1"/>
  <c r="I15" i="1"/>
  <c r="I11" i="1"/>
  <c r="I2" i="1"/>
  <c r="K15" i="1" l="1"/>
  <c r="K16" i="1"/>
</calcChain>
</file>

<file path=xl/sharedStrings.xml><?xml version="1.0" encoding="utf-8"?>
<sst xmlns="http://schemas.openxmlformats.org/spreadsheetml/2006/main" count="58" uniqueCount="45">
  <si>
    <t>Student ErNo.</t>
  </si>
  <si>
    <t>Age</t>
  </si>
  <si>
    <t>CP-II</t>
  </si>
  <si>
    <t>WD-II</t>
  </si>
  <si>
    <t>DBMS</t>
  </si>
  <si>
    <t>ES</t>
  </si>
  <si>
    <t>TOTAL</t>
  </si>
  <si>
    <t>PER</t>
  </si>
  <si>
    <t>GRADE</t>
  </si>
  <si>
    <t>Student</t>
  </si>
  <si>
    <t>Name</t>
  </si>
  <si>
    <t>Harshil</t>
  </si>
  <si>
    <t>Vadgasiya</t>
  </si>
  <si>
    <t>Jay</t>
  </si>
  <si>
    <t>Kachrola</t>
  </si>
  <si>
    <t>Shyam</t>
  </si>
  <si>
    <t>Makasana</t>
  </si>
  <si>
    <t>Savan</t>
  </si>
  <si>
    <t>Dobariya</t>
  </si>
  <si>
    <t>Sabapara</t>
  </si>
  <si>
    <t>Vraj</t>
  </si>
  <si>
    <t>Om</t>
  </si>
  <si>
    <t>Amrutiya</t>
  </si>
  <si>
    <t>Kishan</t>
  </si>
  <si>
    <t>Gothi</t>
  </si>
  <si>
    <t>Kunj</t>
  </si>
  <si>
    <t>Gami</t>
  </si>
  <si>
    <t>Jaimin</t>
  </si>
  <si>
    <t>Deep</t>
  </si>
  <si>
    <t>Thoriya</t>
  </si>
  <si>
    <t>Denish</t>
  </si>
  <si>
    <t>Saradava</t>
  </si>
  <si>
    <t>Rudra</t>
  </si>
  <si>
    <t>Ughreja</t>
  </si>
  <si>
    <t>Nikhil</t>
  </si>
  <si>
    <t>Sherasiya</t>
  </si>
  <si>
    <t>Dharmraj</t>
  </si>
  <si>
    <t>Zala</t>
  </si>
  <si>
    <t>Mayank</t>
  </si>
  <si>
    <t>Godhani</t>
  </si>
  <si>
    <t>CGPA</t>
  </si>
  <si>
    <t>Department</t>
  </si>
  <si>
    <t>IT</t>
  </si>
  <si>
    <t>CE</t>
  </si>
  <si>
    <t>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</si>
</sst>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Calculation" xfId="1" builtinId="22"/>
    <cellStyle name="Normal" xfId="0" builtinId="0"/>
  </cellStyles>
  <dxfs count="7">
    <dxf>
      <fill>
        <patternFill>
          <bgColor theme="9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zoomScale="175" zoomScaleNormal="175" workbookViewId="0">
      <selection activeCell="G18" sqref="G18"/>
    </sheetView>
  </sheetViews>
  <sheetFormatPr defaultRowHeight="15" x14ac:dyDescent="0.25"/>
  <cols>
    <col min="1" max="1" width="14.140625" bestFit="1" customWidth="1"/>
    <col min="2" max="2" width="16.5703125" bestFit="1" customWidth="1"/>
    <col min="3" max="3" width="16.5703125" customWidth="1"/>
    <col min="13" max="13" width="11.7109375" bestFit="1" customWidth="1"/>
  </cols>
  <sheetData>
    <row r="1" spans="1:13" x14ac:dyDescent="0.25">
      <c r="A1" s="1" t="s">
        <v>0</v>
      </c>
      <c r="B1" s="1" t="s">
        <v>9</v>
      </c>
      <c r="C1" s="1" t="s">
        <v>10</v>
      </c>
      <c r="D1" s="1" t="s">
        <v>1</v>
      </c>
      <c r="E1" s="1" t="s">
        <v>5</v>
      </c>
      <c r="F1" s="1" t="s">
        <v>2</v>
      </c>
      <c r="G1" s="1" t="s">
        <v>3</v>
      </c>
      <c r="H1" s="1" t="s">
        <v>4</v>
      </c>
      <c r="I1" s="1" t="s">
        <v>6</v>
      </c>
      <c r="J1" s="1" t="s">
        <v>7</v>
      </c>
      <c r="K1" s="1" t="s">
        <v>8</v>
      </c>
      <c r="L1" s="1" t="s">
        <v>40</v>
      </c>
      <c r="M1" s="1" t="s">
        <v>41</v>
      </c>
    </row>
    <row r="2" spans="1:13" x14ac:dyDescent="0.25">
      <c r="A2">
        <v>25030401096</v>
      </c>
      <c r="B2" t="s">
        <v>11</v>
      </c>
      <c r="C2" t="s">
        <v>12</v>
      </c>
      <c r="D2">
        <v>18</v>
      </c>
      <c r="E2">
        <v>96</v>
      </c>
      <c r="F2">
        <v>95</v>
      </c>
      <c r="G2">
        <v>99</v>
      </c>
      <c r="H2">
        <v>99</v>
      </c>
      <c r="I2">
        <f>SUM(E2:H2)</f>
        <v>389</v>
      </c>
      <c r="J2">
        <f>AVERAGE(E2:H2)</f>
        <v>97.25</v>
      </c>
      <c r="K2" t="str">
        <f>IF(J2&gt;=90,"A",IF(J2&gt;=80,"B+",IF(J2&gt;=70,"B",IF(J2&gt;=60,"C+",IF(J2&gt;=50,"C")))))</f>
        <v>A</v>
      </c>
      <c r="L2">
        <v>8</v>
      </c>
      <c r="M2" t="s">
        <v>42</v>
      </c>
    </row>
    <row r="3" spans="1:13" x14ac:dyDescent="0.25">
      <c r="A3">
        <v>25030401039</v>
      </c>
      <c r="B3" t="s">
        <v>13</v>
      </c>
      <c r="C3" t="s">
        <v>14</v>
      </c>
      <c r="D3">
        <v>17</v>
      </c>
      <c r="E3">
        <v>85</v>
      </c>
      <c r="F3">
        <v>86</v>
      </c>
      <c r="G3">
        <v>87</v>
      </c>
      <c r="H3">
        <v>89</v>
      </c>
      <c r="I3">
        <f>SUM(E3:H3)</f>
        <v>347</v>
      </c>
      <c r="J3">
        <f>AVERAGE(E3:H3)</f>
        <v>86.75</v>
      </c>
      <c r="K3" t="str">
        <f>IF(J3&gt;=90,"A",IF(J3&gt;=80,"B+",IF(J3&gt;=70,"B",IF(J3&gt;=60,"C+",IF(J3&gt;=50,"C")))))</f>
        <v>B+</v>
      </c>
      <c r="L3">
        <v>7</v>
      </c>
      <c r="M3" t="s">
        <v>43</v>
      </c>
    </row>
    <row r="4" spans="1:13" x14ac:dyDescent="0.25">
      <c r="A4">
        <v>25030401122</v>
      </c>
      <c r="B4" t="s">
        <v>30</v>
      </c>
      <c r="C4" t="s">
        <v>31</v>
      </c>
      <c r="D4">
        <v>18</v>
      </c>
      <c r="E4">
        <v>77</v>
      </c>
      <c r="F4">
        <v>88</v>
      </c>
      <c r="G4">
        <v>99</v>
      </c>
      <c r="H4">
        <v>65</v>
      </c>
      <c r="I4">
        <f>SUM(E4:H4)</f>
        <v>329</v>
      </c>
      <c r="J4">
        <f>AVERAGE(E4:H4)</f>
        <v>82.25</v>
      </c>
      <c r="K4" t="str">
        <f>IF(J4&gt;=90,"A",IF(J4&gt;=80,"B+",IF(J4&gt;=70,"B",IF(J4&gt;=60,"C+",IF(J4&gt;=50,"C",IF(#REF!&gt;=40,"D",))))))</f>
        <v>B+</v>
      </c>
      <c r="L4">
        <v>5</v>
      </c>
      <c r="M4" t="s">
        <v>42</v>
      </c>
    </row>
    <row r="5" spans="1:13" x14ac:dyDescent="0.25">
      <c r="A5">
        <v>30020001005</v>
      </c>
      <c r="B5" t="s">
        <v>15</v>
      </c>
      <c r="C5" t="s">
        <v>16</v>
      </c>
      <c r="D5">
        <v>18</v>
      </c>
      <c r="E5">
        <v>75</v>
      </c>
      <c r="F5">
        <v>78</v>
      </c>
      <c r="G5">
        <v>86</v>
      </c>
      <c r="H5">
        <v>89</v>
      </c>
      <c r="I5">
        <f>SUM(E5:H5)</f>
        <v>328</v>
      </c>
      <c r="J5">
        <f>AVERAGE(E5:H5)</f>
        <v>82</v>
      </c>
      <c r="K5" t="str">
        <f>IF(J5&gt;=90,"A",IF(J5&gt;=80,"B+",IF(J5&gt;=70,"B",IF(J5&gt;=60,"C+",IF(J5&gt;=50,"C")))))</f>
        <v>B+</v>
      </c>
      <c r="L5">
        <v>7</v>
      </c>
      <c r="M5" t="s">
        <v>44</v>
      </c>
    </row>
    <row r="6" spans="1:13" x14ac:dyDescent="0.25">
      <c r="A6">
        <v>652301458</v>
      </c>
      <c r="B6" t="s">
        <v>34</v>
      </c>
      <c r="C6" t="s">
        <v>35</v>
      </c>
      <c r="D6">
        <v>16</v>
      </c>
      <c r="E6">
        <v>65</v>
      </c>
      <c r="F6">
        <v>74</v>
      </c>
      <c r="G6">
        <v>75</v>
      </c>
      <c r="H6">
        <v>88</v>
      </c>
      <c r="I6">
        <f>SUM(E6:H6)</f>
        <v>302</v>
      </c>
      <c r="J6">
        <f>AVERAGE(E6:H6)</f>
        <v>75.5</v>
      </c>
      <c r="K6" t="str">
        <f>IF(J6&gt;=90,"A",IF(J6&gt;=80,"B+",IF(J6&gt;=70,"B",IF(J6&gt;=60,"C+",IF(J6&gt;=50,"C",IF(#REF!&gt;=40,"D",))))))</f>
        <v>B</v>
      </c>
      <c r="L6">
        <v>2</v>
      </c>
      <c r="M6" t="s">
        <v>43</v>
      </c>
    </row>
    <row r="7" spans="1:13" x14ac:dyDescent="0.25">
      <c r="A7">
        <v>25030401201</v>
      </c>
      <c r="B7" t="s">
        <v>28</v>
      </c>
      <c r="C7" t="s">
        <v>29</v>
      </c>
      <c r="D7">
        <v>18</v>
      </c>
      <c r="E7">
        <v>75</v>
      </c>
      <c r="F7">
        <v>65</v>
      </c>
      <c r="G7">
        <v>85</v>
      </c>
      <c r="H7">
        <v>75</v>
      </c>
      <c r="I7">
        <f>SUM(E7:H7)</f>
        <v>300</v>
      </c>
      <c r="J7">
        <f>AVERAGE(E7:H7)</f>
        <v>75</v>
      </c>
      <c r="K7" t="str">
        <f>IF(J7&gt;=90,"A",IF(J7&gt;=80,"B+",IF(J7&gt;=70,"B",IF(J7&gt;=60,"C+",IF(J7&gt;=50,"C",IF(J1&gt;=40,"D",))))))</f>
        <v>B</v>
      </c>
      <c r="L7">
        <v>8</v>
      </c>
      <c r="M7" t="s">
        <v>43</v>
      </c>
    </row>
    <row r="8" spans="1:13" x14ac:dyDescent="0.25">
      <c r="A8">
        <v>25030401012</v>
      </c>
      <c r="B8" t="s">
        <v>19</v>
      </c>
      <c r="C8" t="s">
        <v>20</v>
      </c>
      <c r="D8">
        <v>13</v>
      </c>
      <c r="E8">
        <v>85</v>
      </c>
      <c r="F8">
        <v>65</v>
      </c>
      <c r="G8">
        <v>55</v>
      </c>
      <c r="H8">
        <v>75</v>
      </c>
      <c r="I8">
        <f>SUM(E8:H8)</f>
        <v>280</v>
      </c>
      <c r="J8">
        <f>AVERAGE(E8:H8)</f>
        <v>70</v>
      </c>
      <c r="K8" t="str">
        <f>IF(J8&gt;=90,"A",IF(J8&gt;=80,"B+",IF(J8&gt;=70,"B",IF(J8&gt;=60,"C+",IF(J8&gt;=50,"C")))))</f>
        <v>B</v>
      </c>
      <c r="L8">
        <v>8</v>
      </c>
      <c r="M8" t="s">
        <v>43</v>
      </c>
    </row>
    <row r="9" spans="1:13" x14ac:dyDescent="0.25">
      <c r="A9">
        <v>750250125</v>
      </c>
      <c r="B9" t="s">
        <v>17</v>
      </c>
      <c r="C9" t="s">
        <v>18</v>
      </c>
      <c r="D9">
        <v>15</v>
      </c>
      <c r="E9">
        <v>85</v>
      </c>
      <c r="F9">
        <v>45</v>
      </c>
      <c r="G9">
        <v>68</v>
      </c>
      <c r="H9">
        <v>75</v>
      </c>
      <c r="I9">
        <f>SUM(E9:H9)</f>
        <v>273</v>
      </c>
      <c r="J9">
        <f>AVERAGE(E9:H9)</f>
        <v>68.25</v>
      </c>
      <c r="K9" t="str">
        <f>IF(J9&gt;=90,"A",IF(J9&gt;=80,"B+",IF(J9&gt;=70,"B",IF(J9&gt;=60,"C+",IF(J9&gt;=50,"C")))))</f>
        <v>C+</v>
      </c>
      <c r="L9">
        <v>7</v>
      </c>
      <c r="M9" t="s">
        <v>42</v>
      </c>
    </row>
    <row r="10" spans="1:13" x14ac:dyDescent="0.25">
      <c r="A10">
        <v>25030601009</v>
      </c>
      <c r="B10" t="s">
        <v>25</v>
      </c>
      <c r="C10" t="s">
        <v>26</v>
      </c>
      <c r="D10">
        <v>15</v>
      </c>
      <c r="E10">
        <v>45</v>
      </c>
      <c r="F10">
        <v>65</v>
      </c>
      <c r="G10">
        <v>75</v>
      </c>
      <c r="H10">
        <v>85</v>
      </c>
      <c r="I10">
        <f>SUM(E10:H10)</f>
        <v>270</v>
      </c>
      <c r="J10">
        <f>AVERAGE(E10:H10)</f>
        <v>67.5</v>
      </c>
      <c r="K10" t="str">
        <f>IF(J10&gt;=90,"A",IF(J10&gt;=80,"B+",IF(J10&gt;=70,"B",IF(J10&gt;=60,"C+",IF(J10&gt;=50,"C",IF(J4&gt;=40,"D",))))))</f>
        <v>C+</v>
      </c>
      <c r="L10">
        <v>3</v>
      </c>
      <c r="M10" t="s">
        <v>43</v>
      </c>
    </row>
    <row r="11" spans="1:13" x14ac:dyDescent="0.25">
      <c r="A11">
        <v>25030401025</v>
      </c>
      <c r="B11" t="s">
        <v>38</v>
      </c>
      <c r="C11" t="s">
        <v>39</v>
      </c>
      <c r="D11">
        <v>20</v>
      </c>
      <c r="E11">
        <v>75</v>
      </c>
      <c r="F11">
        <v>45</v>
      </c>
      <c r="G11">
        <v>65</v>
      </c>
      <c r="H11">
        <v>85</v>
      </c>
      <c r="I11">
        <f>SUM(E11:H11)</f>
        <v>270</v>
      </c>
      <c r="J11">
        <f>AVERAGE(E11:H11)</f>
        <v>67.5</v>
      </c>
      <c r="K11" t="str">
        <f>IF(J11&gt;=90,"A",IF(J11&gt;=80,"B+",IF(J11&gt;=70,"B",IF(J11&gt;=60,"C+",IF(J11&gt;=50,"C",IF(J5&gt;=40,"D",))))))</f>
        <v>C+</v>
      </c>
      <c r="L11">
        <v>5</v>
      </c>
      <c r="M11" t="s">
        <v>42</v>
      </c>
    </row>
    <row r="12" spans="1:13" x14ac:dyDescent="0.25">
      <c r="A12">
        <v>2503040215</v>
      </c>
      <c r="B12" t="s">
        <v>32</v>
      </c>
      <c r="C12" t="s">
        <v>33</v>
      </c>
      <c r="D12">
        <v>17</v>
      </c>
      <c r="E12">
        <v>72</v>
      </c>
      <c r="F12">
        <v>62</v>
      </c>
      <c r="G12">
        <v>53</v>
      </c>
      <c r="H12">
        <v>71</v>
      </c>
      <c r="I12">
        <f>SUM(E12:H12)</f>
        <v>258</v>
      </c>
      <c r="J12">
        <f>AVERAGE(E12:H12)</f>
        <v>64.5</v>
      </c>
      <c r="K12" t="str">
        <f>IF(J12&gt;=90,"A",IF(J12&gt;=80,"B+",IF(J12&gt;=70,"B",IF(J12&gt;=60,"C+",IF(J12&gt;=50,"C",IF(J6&gt;=40,"D",))))))</f>
        <v>C+</v>
      </c>
      <c r="L12">
        <v>7</v>
      </c>
      <c r="M12" t="s">
        <v>44</v>
      </c>
    </row>
    <row r="13" spans="1:13" x14ac:dyDescent="0.25">
      <c r="A13">
        <v>25030401004</v>
      </c>
      <c r="B13" t="s">
        <v>21</v>
      </c>
      <c r="C13" t="s">
        <v>22</v>
      </c>
      <c r="D13">
        <v>10</v>
      </c>
      <c r="E13">
        <v>77</v>
      </c>
      <c r="F13">
        <v>44</v>
      </c>
      <c r="G13">
        <v>55</v>
      </c>
      <c r="H13">
        <v>66</v>
      </c>
      <c r="I13">
        <f>SUM(E13:H13)</f>
        <v>242</v>
      </c>
      <c r="J13">
        <f>AVERAGE(E13:H13)</f>
        <v>60.5</v>
      </c>
      <c r="K13" t="str">
        <f>IF(J13&gt;=90,"A",IF(J13&gt;=80,"B+",IF(J13&gt;=70,"B",IF(J13&gt;=60,"C+",IF(J13&gt;=50,"C")))))</f>
        <v>C+</v>
      </c>
      <c r="L13">
        <v>5</v>
      </c>
      <c r="M13" t="s">
        <v>44</v>
      </c>
    </row>
    <row r="14" spans="1:13" x14ac:dyDescent="0.25">
      <c r="A14">
        <v>25030602011</v>
      </c>
      <c r="B14" t="s">
        <v>27</v>
      </c>
      <c r="C14" t="s">
        <v>16</v>
      </c>
      <c r="D14">
        <v>17</v>
      </c>
      <c r="E14">
        <v>25</v>
      </c>
      <c r="F14">
        <v>63</v>
      </c>
      <c r="G14">
        <v>45</v>
      </c>
      <c r="H14">
        <v>75</v>
      </c>
      <c r="I14">
        <f>SUM(E14:H14)</f>
        <v>208</v>
      </c>
      <c r="J14">
        <f>AVERAGE(E14:H14)</f>
        <v>52</v>
      </c>
      <c r="K14" t="str">
        <f>IF(J14&gt;=90,"A",IF(J14&gt;=80,"B+",IF(J14&gt;=70,"B",IF(J14&gt;=60,"C+",IF(J14&gt;=50,"C",IF(J8&gt;=40,"D",))))))</f>
        <v>C</v>
      </c>
      <c r="L14">
        <v>6</v>
      </c>
      <c r="M14" t="s">
        <v>42</v>
      </c>
    </row>
    <row r="15" spans="1:13" x14ac:dyDescent="0.25">
      <c r="A15">
        <v>25030401101</v>
      </c>
      <c r="B15" t="s">
        <v>36</v>
      </c>
      <c r="C15" t="s">
        <v>37</v>
      </c>
      <c r="D15">
        <v>15</v>
      </c>
      <c r="E15">
        <v>45</v>
      </c>
      <c r="F15">
        <v>65</v>
      </c>
      <c r="G15">
        <v>35</v>
      </c>
      <c r="H15">
        <v>42</v>
      </c>
      <c r="I15">
        <f>SUM(E15:H15)</f>
        <v>187</v>
      </c>
      <c r="J15">
        <f>AVERAGE(E15:H15)</f>
        <v>46.75</v>
      </c>
      <c r="K15" t="str">
        <f>IF(J15&gt;=90,"A",IF(J15&gt;=80,"B+",IF(J15&gt;=70,"B",IF(J15&gt;=60,"C+",IF(J15&gt;=50,"C",IF(J9&gt;=40,"D",))))))</f>
        <v>D</v>
      </c>
      <c r="L15">
        <v>3</v>
      </c>
      <c r="M15" t="s">
        <v>44</v>
      </c>
    </row>
    <row r="16" spans="1:13" x14ac:dyDescent="0.25">
      <c r="A16">
        <v>25030401032</v>
      </c>
      <c r="B16" t="s">
        <v>23</v>
      </c>
      <c r="C16" t="s">
        <v>24</v>
      </c>
      <c r="D16">
        <v>19</v>
      </c>
      <c r="E16">
        <v>44</v>
      </c>
      <c r="F16">
        <v>55</v>
      </c>
      <c r="G16">
        <v>33</v>
      </c>
      <c r="H16">
        <v>22</v>
      </c>
      <c r="I16">
        <f>SUM(E16:H16)</f>
        <v>154</v>
      </c>
      <c r="J16">
        <f>AVERAGE(E16:H16)</f>
        <v>38.5</v>
      </c>
      <c r="K16" t="str">
        <f>IF(J16&gt;=90,"A",IF(J16&gt;=80,"B+",IF(J16&gt;=70,"B",IF(J16&gt;=60,"C+",IF(J16&gt;=50,"C",IF(J10&gt;=40,"D",))))))</f>
        <v>D</v>
      </c>
      <c r="L16">
        <v>4</v>
      </c>
      <c r="M16" t="s">
        <v>42</v>
      </c>
    </row>
    <row r="19" spans="1:1" x14ac:dyDescent="0.25">
      <c r="A19" t="e">
        <f>VLOOKUP(E4,A2:M16,4,0)</f>
        <v>#N/A</v>
      </c>
    </row>
  </sheetData>
  <sortState ref="A2:M16">
    <sortCondition descending="1" ref="J2:J16"/>
    <sortCondition ref="E2:E16"/>
    <sortCondition ref="A2:A16"/>
  </sortState>
  <conditionalFormatting sqref="F18">
    <cfRule type="cellIs" dxfId="3" priority="4" operator="greaterThan">
      <formula>75</formula>
    </cfRule>
  </conditionalFormatting>
  <conditionalFormatting sqref="E2:H16">
    <cfRule type="cellIs" dxfId="2" priority="1" operator="lessThan">
      <formula>50</formula>
    </cfRule>
    <cfRule type="cellIs" dxfId="1" priority="2" operator="between">
      <formula>50</formula>
      <formula>75</formula>
    </cfRule>
    <cfRule type="cellIs" dxfId="0" priority="3" operator="greaterThan">
      <formula>75</formula>
    </cfRule>
  </conditionalFormatting>
  <dataValidations xWindow="978" yWindow="810" count="2">
    <dataValidation type="whole" allowBlank="1" showInputMessage="1" showErrorMessage="1" error="please enter valid number" prompt="Enter Number betwen 0 to 10" sqref="L2:L16">
      <formula1>0</formula1>
      <formula2>10</formula2>
    </dataValidation>
    <dataValidation type="list" allowBlank="1" showInputMessage="1" showErrorMessage="1" error="Enter valid department" prompt="Enter CE, IT,ICT " sqref="M2:M16">
      <formula1>"CE, IT,ICT"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2026-02-23T04:39:46Z</dcterms:created>
  <dcterms:modified xsi:type="dcterms:W3CDTF">2026-02-23T05:42:09Z</dcterms:modified>
</cp:coreProperties>
</file>