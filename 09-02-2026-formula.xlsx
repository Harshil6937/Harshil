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RSHIL VADGASIYA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P3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Q3" i="1"/>
  <c r="O3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</calcChain>
</file>

<file path=xl/sharedStrings.xml><?xml version="1.0" encoding="utf-8"?>
<sst xmlns="http://schemas.openxmlformats.org/spreadsheetml/2006/main" count="47" uniqueCount="46">
  <si>
    <t>Maths</t>
  </si>
  <si>
    <t>English</t>
  </si>
  <si>
    <t>Science</t>
  </si>
  <si>
    <t>Gujarati</t>
  </si>
  <si>
    <t>Sanskrit</t>
  </si>
  <si>
    <t>Deep</t>
  </si>
  <si>
    <t>Denish</t>
  </si>
  <si>
    <t>Harshil</t>
  </si>
  <si>
    <t>Jaimin</t>
  </si>
  <si>
    <t>Jay</t>
  </si>
  <si>
    <t>Kishan</t>
  </si>
  <si>
    <t>Kunj</t>
  </si>
  <si>
    <t>Mayank</t>
  </si>
  <si>
    <t>Nikhil</t>
  </si>
  <si>
    <t>Om</t>
  </si>
  <si>
    <t>Rudra</t>
  </si>
  <si>
    <t>Savan</t>
  </si>
  <si>
    <t>Shyam</t>
  </si>
  <si>
    <t>Vraj</t>
  </si>
  <si>
    <t>First Name</t>
  </si>
  <si>
    <t>Last Name</t>
  </si>
  <si>
    <t>Thoriya</t>
  </si>
  <si>
    <t>Saradava</t>
  </si>
  <si>
    <t>Vadgasiya</t>
  </si>
  <si>
    <t>Makasana</t>
  </si>
  <si>
    <t>Kacharola</t>
  </si>
  <si>
    <t>Gothi</t>
  </si>
  <si>
    <t>Gami</t>
  </si>
  <si>
    <t>Godhani</t>
  </si>
  <si>
    <t>Sherasiya</t>
  </si>
  <si>
    <t>Amrutiya</t>
  </si>
  <si>
    <t>Ughreja</t>
  </si>
  <si>
    <t>Dobariya</t>
  </si>
  <si>
    <t>Sabapara</t>
  </si>
  <si>
    <t>Enrollment NO</t>
  </si>
  <si>
    <t>Final Examination Results</t>
  </si>
  <si>
    <t>Total</t>
  </si>
  <si>
    <t>Per</t>
  </si>
  <si>
    <t>AVG</t>
  </si>
  <si>
    <t>Grade</t>
  </si>
  <si>
    <t>Max</t>
  </si>
  <si>
    <t>Min</t>
  </si>
  <si>
    <t>Count</t>
  </si>
  <si>
    <t>UPPER</t>
  </si>
  <si>
    <t>LOWER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</si>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</sst>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Bernard MT Condensed"/>
      <family val="1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abSelected="1" zoomScale="130" zoomScaleNormal="130" workbookViewId="0">
      <selection activeCell="I3" sqref="I3"/>
    </sheetView>
  </sheetViews>
  <sheetFormatPr defaultRowHeight="15" x14ac:dyDescent="0.25"/>
  <cols>
    <col min="1" max="1" width="13.42578125" bestFit="1" customWidth="1"/>
    <col min="2" max="3" width="12.140625" bestFit="1" customWidth="1"/>
    <col min="16" max="16" width="8.85546875" bestFit="1" customWidth="1"/>
    <col min="17" max="17" width="9.7109375" bestFit="1" customWidth="1"/>
  </cols>
  <sheetData>
    <row r="1" spans="1:18" x14ac:dyDescent="0.25">
      <c r="A1" s="6" t="s">
        <v>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8" x14ac:dyDescent="0.25">
      <c r="A2" s="2" t="s">
        <v>34</v>
      </c>
      <c r="B2" s="1" t="s">
        <v>19</v>
      </c>
      <c r="C2" s="1" t="s">
        <v>20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</row>
    <row r="3" spans="1:18" x14ac:dyDescent="0.25">
      <c r="A3" s="3">
        <v>25030401012</v>
      </c>
      <c r="B3" s="1" t="s">
        <v>5</v>
      </c>
      <c r="C3" s="1" t="s">
        <v>21</v>
      </c>
      <c r="D3" s="4">
        <v>85</v>
      </c>
      <c r="E3" s="4">
        <v>96</v>
      </c>
      <c r="F3" s="4">
        <v>78</v>
      </c>
      <c r="G3" s="4">
        <v>45</v>
      </c>
      <c r="H3" s="4">
        <v>65</v>
      </c>
      <c r="I3">
        <f>SUM(D3:H3)</f>
        <v>369</v>
      </c>
      <c r="J3">
        <f>AVERAGE(D3:H3)</f>
        <v>73.8</v>
      </c>
      <c r="L3" s="5" t="str">
        <f>IF(J3&gt;=90,"A++",IF(J3&gt;=80,"A",IF(J3&gt;=70,"B+",IF(J3&gt;=60,"B",IF(J3&gt;=50,"C+",IF(J3&gt;=40,"C",IF(J3&gt;=33,"P","F")))))))</f>
        <v>B+</v>
      </c>
      <c r="M3">
        <f>MAX(D3:H3)</f>
        <v>96</v>
      </c>
      <c r="N3">
        <f>MIN(D3:H3)</f>
        <v>45</v>
      </c>
      <c r="O3">
        <f>COUNT(A3:A16)</f>
        <v>14</v>
      </c>
      <c r="P3" t="str">
        <f>UPPER(B3)</f>
        <v>DEEP</v>
      </c>
      <c r="Q3" t="str">
        <f>LOWER(C3)</f>
        <v>thoriya</v>
      </c>
      <c r="R3">
        <f>COUNTIF(D3:H3,"&gt;=80")</f>
        <v>2</v>
      </c>
    </row>
    <row r="4" spans="1:18" x14ac:dyDescent="0.25">
      <c r="A4" s="3">
        <v>25030401036</v>
      </c>
      <c r="B4" s="1" t="s">
        <v>6</v>
      </c>
      <c r="C4" s="1" t="s">
        <v>22</v>
      </c>
      <c r="D4" s="4">
        <v>88</v>
      </c>
      <c r="E4" s="4">
        <v>77</v>
      </c>
      <c r="F4" s="4">
        <v>44</v>
      </c>
      <c r="G4" s="4">
        <v>55</v>
      </c>
      <c r="H4" s="4">
        <v>55</v>
      </c>
      <c r="I4">
        <f t="shared" ref="I4:I16" si="0">SUM(D4:H4)</f>
        <v>319</v>
      </c>
      <c r="J4">
        <f t="shared" ref="J4:J16" si="1">AVERAGE(D4:H4)</f>
        <v>63.8</v>
      </c>
      <c r="L4" s="5" t="str">
        <f t="shared" ref="L4:L16" si="2">IF(J4&gt;=90,"A++",IF(J4&gt;=80,"A",IF(J4&gt;=70,"B+",IF(J4&gt;=60,"B",IF(J4&gt;=50,"C+",IF(J4&gt;=40,"C",IF(J4&gt;=33,"P","F")))))))</f>
        <v>B</v>
      </c>
      <c r="M4">
        <f t="shared" ref="M4:M16" si="3">MAX(D4:H4)</f>
        <v>88</v>
      </c>
      <c r="N4">
        <f t="shared" ref="N4:N16" si="4">MIN(D4:H4)</f>
        <v>44</v>
      </c>
      <c r="O4">
        <f t="shared" ref="O4:O16" si="5">COUNT(A4:A17)</f>
        <v>13</v>
      </c>
      <c r="P4" t="str">
        <f t="shared" ref="P4:P16" si="6">UPPER(B4)</f>
        <v>DENISH</v>
      </c>
      <c r="Q4" t="str">
        <f t="shared" ref="Q4:Q16" si="7">LOWER(C4)</f>
        <v>saradava</v>
      </c>
      <c r="R4">
        <f t="shared" ref="R4:R16" si="8">COUNTIF(D4:H4,"&gt;=80")</f>
        <v>1</v>
      </c>
    </row>
    <row r="5" spans="1:18" x14ac:dyDescent="0.25">
      <c r="A5" s="3">
        <v>25030401039</v>
      </c>
      <c r="B5" s="1" t="s">
        <v>7</v>
      </c>
      <c r="C5" s="1" t="s">
        <v>23</v>
      </c>
      <c r="D5" s="4">
        <v>99</v>
      </c>
      <c r="E5" s="4">
        <v>96</v>
      </c>
      <c r="F5" s="4">
        <v>84</v>
      </c>
      <c r="G5" s="4">
        <v>87</v>
      </c>
      <c r="H5" s="4">
        <v>89</v>
      </c>
      <c r="I5">
        <f t="shared" si="0"/>
        <v>455</v>
      </c>
      <c r="J5">
        <f t="shared" si="1"/>
        <v>91</v>
      </c>
      <c r="L5" s="5" t="str">
        <f t="shared" si="2"/>
        <v>A++</v>
      </c>
      <c r="M5">
        <f t="shared" si="3"/>
        <v>99</v>
      </c>
      <c r="N5">
        <f t="shared" si="4"/>
        <v>84</v>
      </c>
      <c r="O5">
        <f t="shared" si="5"/>
        <v>12</v>
      </c>
      <c r="P5" t="str">
        <f t="shared" si="6"/>
        <v>HARSHIL</v>
      </c>
      <c r="Q5" t="str">
        <f t="shared" si="7"/>
        <v>vadgasiya</v>
      </c>
      <c r="R5">
        <f t="shared" si="8"/>
        <v>5</v>
      </c>
    </row>
    <row r="6" spans="1:18" x14ac:dyDescent="0.25">
      <c r="A6" s="3">
        <v>25030601023</v>
      </c>
      <c r="B6" s="1" t="s">
        <v>8</v>
      </c>
      <c r="C6" s="1" t="s">
        <v>24</v>
      </c>
      <c r="D6" s="4">
        <v>78</v>
      </c>
      <c r="E6" s="4">
        <v>75</v>
      </c>
      <c r="F6" s="4">
        <v>56</v>
      </c>
      <c r="G6" s="4">
        <v>45</v>
      </c>
      <c r="H6" s="4">
        <v>12</v>
      </c>
      <c r="I6">
        <f t="shared" si="0"/>
        <v>266</v>
      </c>
      <c r="J6">
        <f t="shared" si="1"/>
        <v>53.2</v>
      </c>
      <c r="L6" s="5" t="str">
        <f t="shared" si="2"/>
        <v>C+</v>
      </c>
      <c r="M6">
        <f t="shared" si="3"/>
        <v>78</v>
      </c>
      <c r="N6">
        <f t="shared" si="4"/>
        <v>12</v>
      </c>
      <c r="O6">
        <f t="shared" si="5"/>
        <v>11</v>
      </c>
      <c r="P6" t="str">
        <f t="shared" si="6"/>
        <v>JAIMIN</v>
      </c>
      <c r="Q6" t="str">
        <f t="shared" si="7"/>
        <v>makasana</v>
      </c>
      <c r="R6">
        <f t="shared" si="8"/>
        <v>0</v>
      </c>
    </row>
    <row r="7" spans="1:18" x14ac:dyDescent="0.25">
      <c r="A7" s="3">
        <v>25030401039</v>
      </c>
      <c r="B7" s="1" t="s">
        <v>9</v>
      </c>
      <c r="C7" s="1" t="s">
        <v>25</v>
      </c>
      <c r="D7" s="4">
        <v>75</v>
      </c>
      <c r="E7" s="4">
        <v>78</v>
      </c>
      <c r="F7" s="4">
        <v>82</v>
      </c>
      <c r="G7" s="4">
        <v>85</v>
      </c>
      <c r="H7" s="4">
        <v>87</v>
      </c>
      <c r="I7">
        <f t="shared" si="0"/>
        <v>407</v>
      </c>
      <c r="J7">
        <f t="shared" si="1"/>
        <v>81.400000000000006</v>
      </c>
      <c r="L7" s="5" t="str">
        <f t="shared" si="2"/>
        <v>A</v>
      </c>
      <c r="M7">
        <f t="shared" si="3"/>
        <v>87</v>
      </c>
      <c r="N7">
        <f t="shared" si="4"/>
        <v>75</v>
      </c>
      <c r="O7">
        <f t="shared" si="5"/>
        <v>10</v>
      </c>
      <c r="P7" t="str">
        <f t="shared" si="6"/>
        <v>JAY</v>
      </c>
      <c r="Q7" t="str">
        <f t="shared" si="7"/>
        <v>kacharola</v>
      </c>
      <c r="R7">
        <f t="shared" si="8"/>
        <v>3</v>
      </c>
    </row>
    <row r="8" spans="1:18" x14ac:dyDescent="0.25">
      <c r="A8" s="3">
        <v>25030401032</v>
      </c>
      <c r="B8" s="1" t="s">
        <v>10</v>
      </c>
      <c r="C8" s="1" t="s">
        <v>26</v>
      </c>
      <c r="D8" s="4">
        <v>45</v>
      </c>
      <c r="E8" s="4">
        <v>35</v>
      </c>
      <c r="F8" s="4">
        <v>65</v>
      </c>
      <c r="G8" s="4">
        <v>45</v>
      </c>
      <c r="H8" s="4">
        <v>33</v>
      </c>
      <c r="I8">
        <f t="shared" si="0"/>
        <v>223</v>
      </c>
      <c r="J8">
        <f t="shared" si="1"/>
        <v>44.6</v>
      </c>
      <c r="L8" s="5" t="str">
        <f t="shared" si="2"/>
        <v>C</v>
      </c>
      <c r="M8">
        <f t="shared" si="3"/>
        <v>65</v>
      </c>
      <c r="N8">
        <f t="shared" si="4"/>
        <v>33</v>
      </c>
      <c r="O8">
        <f t="shared" si="5"/>
        <v>9</v>
      </c>
      <c r="P8" t="str">
        <f t="shared" si="6"/>
        <v>KISHAN</v>
      </c>
      <c r="Q8" t="str">
        <f t="shared" si="7"/>
        <v>gothi</v>
      </c>
      <c r="R8">
        <f t="shared" si="8"/>
        <v>0</v>
      </c>
    </row>
    <row r="9" spans="1:18" x14ac:dyDescent="0.25">
      <c r="A9" s="3">
        <v>25030601009</v>
      </c>
      <c r="B9" s="1" t="s">
        <v>11</v>
      </c>
      <c r="C9" s="1" t="s">
        <v>27</v>
      </c>
      <c r="D9" s="4">
        <v>45</v>
      </c>
      <c r="E9" s="4">
        <v>65</v>
      </c>
      <c r="F9" s="4">
        <v>25</v>
      </c>
      <c r="G9" s="4">
        <v>35</v>
      </c>
      <c r="H9" s="4">
        <v>15</v>
      </c>
      <c r="I9">
        <f t="shared" si="0"/>
        <v>185</v>
      </c>
      <c r="J9">
        <f t="shared" si="1"/>
        <v>37</v>
      </c>
      <c r="L9" s="5" t="str">
        <f t="shared" si="2"/>
        <v>P</v>
      </c>
      <c r="M9">
        <f t="shared" si="3"/>
        <v>65</v>
      </c>
      <c r="N9">
        <f t="shared" si="4"/>
        <v>15</v>
      </c>
      <c r="O9">
        <f t="shared" si="5"/>
        <v>8</v>
      </c>
      <c r="P9" t="str">
        <f t="shared" si="6"/>
        <v>KUNJ</v>
      </c>
      <c r="Q9" t="str">
        <f t="shared" si="7"/>
        <v>gami</v>
      </c>
      <c r="R9">
        <f t="shared" si="8"/>
        <v>0</v>
      </c>
    </row>
    <row r="10" spans="1:18" x14ac:dyDescent="0.25">
      <c r="A10" s="3">
        <v>25030401097</v>
      </c>
      <c r="B10" s="1" t="s">
        <v>12</v>
      </c>
      <c r="C10" s="1" t="s">
        <v>28</v>
      </c>
      <c r="D10" s="4">
        <v>45</v>
      </c>
      <c r="E10" s="4">
        <v>56</v>
      </c>
      <c r="F10" s="4">
        <v>35</v>
      </c>
      <c r="G10" s="4">
        <v>36</v>
      </c>
      <c r="H10" s="4">
        <v>34</v>
      </c>
      <c r="I10">
        <f t="shared" si="0"/>
        <v>206</v>
      </c>
      <c r="J10">
        <f t="shared" si="1"/>
        <v>41.2</v>
      </c>
      <c r="L10" s="5" t="str">
        <f t="shared" si="2"/>
        <v>C</v>
      </c>
      <c r="M10">
        <f t="shared" si="3"/>
        <v>56</v>
      </c>
      <c r="N10">
        <f t="shared" si="4"/>
        <v>34</v>
      </c>
      <c r="O10">
        <f t="shared" si="5"/>
        <v>7</v>
      </c>
      <c r="P10" t="str">
        <f t="shared" si="6"/>
        <v>MAYANK</v>
      </c>
      <c r="Q10" t="str">
        <f t="shared" si="7"/>
        <v>godhani</v>
      </c>
      <c r="R10">
        <f t="shared" si="8"/>
        <v>0</v>
      </c>
    </row>
    <row r="11" spans="1:18" x14ac:dyDescent="0.25">
      <c r="A11" s="3">
        <v>25030401001</v>
      </c>
      <c r="B11" s="1" t="s">
        <v>13</v>
      </c>
      <c r="C11" s="1" t="s">
        <v>29</v>
      </c>
      <c r="D11" s="4">
        <v>75</v>
      </c>
      <c r="E11" s="4">
        <v>86</v>
      </c>
      <c r="F11" s="4">
        <v>57</v>
      </c>
      <c r="G11" s="4">
        <v>45</v>
      </c>
      <c r="H11" s="4">
        <v>50</v>
      </c>
      <c r="I11">
        <f t="shared" si="0"/>
        <v>313</v>
      </c>
      <c r="J11">
        <f t="shared" si="1"/>
        <v>62.6</v>
      </c>
      <c r="L11" s="5" t="str">
        <f t="shared" si="2"/>
        <v>B</v>
      </c>
      <c r="M11">
        <f t="shared" si="3"/>
        <v>86</v>
      </c>
      <c r="N11">
        <f t="shared" si="4"/>
        <v>45</v>
      </c>
      <c r="O11">
        <f t="shared" si="5"/>
        <v>6</v>
      </c>
      <c r="P11" t="str">
        <f t="shared" si="6"/>
        <v>NIKHIL</v>
      </c>
      <c r="Q11" t="str">
        <f t="shared" si="7"/>
        <v>sherasiya</v>
      </c>
      <c r="R11">
        <f t="shared" si="8"/>
        <v>1</v>
      </c>
    </row>
    <row r="12" spans="1:18" x14ac:dyDescent="0.25">
      <c r="A12" s="3">
        <v>25030401004</v>
      </c>
      <c r="B12" s="1" t="s">
        <v>14</v>
      </c>
      <c r="C12" s="1" t="s">
        <v>30</v>
      </c>
      <c r="D12" s="4">
        <v>78</v>
      </c>
      <c r="E12" s="4">
        <v>85</v>
      </c>
      <c r="F12" s="4">
        <v>45</v>
      </c>
      <c r="G12" s="4">
        <v>87</v>
      </c>
      <c r="H12" s="4">
        <v>45</v>
      </c>
      <c r="I12">
        <f t="shared" si="0"/>
        <v>340</v>
      </c>
      <c r="J12">
        <f t="shared" si="1"/>
        <v>68</v>
      </c>
      <c r="L12" s="5" t="str">
        <f t="shared" si="2"/>
        <v>B</v>
      </c>
      <c r="M12">
        <f t="shared" si="3"/>
        <v>87</v>
      </c>
      <c r="N12">
        <f t="shared" si="4"/>
        <v>45</v>
      </c>
      <c r="O12">
        <f t="shared" si="5"/>
        <v>5</v>
      </c>
      <c r="P12" t="str">
        <f t="shared" si="6"/>
        <v>OM</v>
      </c>
      <c r="Q12" t="str">
        <f t="shared" si="7"/>
        <v>amrutiya</v>
      </c>
      <c r="R12">
        <f t="shared" si="8"/>
        <v>2</v>
      </c>
    </row>
    <row r="13" spans="1:18" x14ac:dyDescent="0.25">
      <c r="A13" s="3">
        <v>20530401005</v>
      </c>
      <c r="B13" s="1" t="s">
        <v>15</v>
      </c>
      <c r="C13" s="1" t="s">
        <v>31</v>
      </c>
      <c r="D13" s="4">
        <v>74</v>
      </c>
      <c r="E13" s="4">
        <v>45</v>
      </c>
      <c r="F13" s="4">
        <v>65</v>
      </c>
      <c r="G13" s="4">
        <v>45</v>
      </c>
      <c r="H13" s="4">
        <v>75</v>
      </c>
      <c r="I13">
        <f t="shared" si="0"/>
        <v>304</v>
      </c>
      <c r="J13">
        <f t="shared" si="1"/>
        <v>60.8</v>
      </c>
      <c r="L13" s="5" t="str">
        <f t="shared" si="2"/>
        <v>B</v>
      </c>
      <c r="M13">
        <f t="shared" si="3"/>
        <v>75</v>
      </c>
      <c r="N13">
        <f t="shared" si="4"/>
        <v>45</v>
      </c>
      <c r="O13">
        <f t="shared" si="5"/>
        <v>4</v>
      </c>
      <c r="P13" t="str">
        <f t="shared" si="6"/>
        <v>RUDRA</v>
      </c>
      <c r="Q13" t="str">
        <f t="shared" si="7"/>
        <v>ughreja</v>
      </c>
      <c r="R13">
        <f t="shared" si="8"/>
        <v>0</v>
      </c>
    </row>
    <row r="14" spans="1:18" x14ac:dyDescent="0.25">
      <c r="A14" s="3">
        <v>20530401026</v>
      </c>
      <c r="B14" s="1" t="s">
        <v>16</v>
      </c>
      <c r="C14" s="1" t="s">
        <v>32</v>
      </c>
      <c r="D14" s="4">
        <v>85</v>
      </c>
      <c r="E14" s="4">
        <v>87</v>
      </c>
      <c r="F14" s="4">
        <v>90</v>
      </c>
      <c r="G14" s="4">
        <v>57</v>
      </c>
      <c r="H14" s="4">
        <v>58</v>
      </c>
      <c r="I14">
        <f t="shared" si="0"/>
        <v>377</v>
      </c>
      <c r="J14">
        <f t="shared" si="1"/>
        <v>75.400000000000006</v>
      </c>
      <c r="L14" s="5" t="str">
        <f t="shared" si="2"/>
        <v>B+</v>
      </c>
      <c r="M14">
        <f t="shared" si="3"/>
        <v>90</v>
      </c>
      <c r="N14">
        <f t="shared" si="4"/>
        <v>57</v>
      </c>
      <c r="O14">
        <f t="shared" si="5"/>
        <v>3</v>
      </c>
      <c r="P14" t="str">
        <f t="shared" si="6"/>
        <v>SAVAN</v>
      </c>
      <c r="Q14" t="str">
        <f t="shared" si="7"/>
        <v>dobariya</v>
      </c>
      <c r="R14">
        <f t="shared" si="8"/>
        <v>3</v>
      </c>
    </row>
    <row r="15" spans="1:18" x14ac:dyDescent="0.25">
      <c r="A15" s="3">
        <v>20530401057</v>
      </c>
      <c r="B15" s="1" t="s">
        <v>17</v>
      </c>
      <c r="C15" s="1" t="s">
        <v>24</v>
      </c>
      <c r="D15" s="4">
        <v>75</v>
      </c>
      <c r="E15" s="4">
        <v>83</v>
      </c>
      <c r="F15" s="4">
        <v>65</v>
      </c>
      <c r="G15" s="4">
        <v>68</v>
      </c>
      <c r="H15" s="4">
        <v>78</v>
      </c>
      <c r="I15">
        <f t="shared" si="0"/>
        <v>369</v>
      </c>
      <c r="J15">
        <f t="shared" si="1"/>
        <v>73.8</v>
      </c>
      <c r="L15" s="5" t="str">
        <f t="shared" si="2"/>
        <v>B+</v>
      </c>
      <c r="M15">
        <f t="shared" si="3"/>
        <v>83</v>
      </c>
      <c r="N15">
        <f t="shared" si="4"/>
        <v>65</v>
      </c>
      <c r="O15">
        <f t="shared" si="5"/>
        <v>2</v>
      </c>
      <c r="P15" t="str">
        <f t="shared" si="6"/>
        <v>SHYAM</v>
      </c>
      <c r="Q15" t="str">
        <f t="shared" si="7"/>
        <v>makasana</v>
      </c>
      <c r="R15">
        <f t="shared" si="8"/>
        <v>1</v>
      </c>
    </row>
    <row r="16" spans="1:18" x14ac:dyDescent="0.25">
      <c r="A16" s="3">
        <v>25030401082</v>
      </c>
      <c r="B16" s="1" t="s">
        <v>18</v>
      </c>
      <c r="C16" s="1" t="s">
        <v>33</v>
      </c>
      <c r="D16" s="4">
        <v>65</v>
      </c>
      <c r="E16" s="4">
        <v>53</v>
      </c>
      <c r="F16" s="4">
        <v>75</v>
      </c>
      <c r="G16" s="4">
        <v>85</v>
      </c>
      <c r="H16" s="4">
        <v>88</v>
      </c>
      <c r="I16">
        <f t="shared" si="0"/>
        <v>366</v>
      </c>
      <c r="J16">
        <f t="shared" si="1"/>
        <v>73.2</v>
      </c>
      <c r="L16" s="5" t="str">
        <f t="shared" si="2"/>
        <v>B+</v>
      </c>
      <c r="M16">
        <f t="shared" si="3"/>
        <v>88</v>
      </c>
      <c r="N16">
        <f t="shared" si="4"/>
        <v>53</v>
      </c>
      <c r="O16">
        <f t="shared" si="5"/>
        <v>1</v>
      </c>
      <c r="P16" t="str">
        <f t="shared" si="6"/>
        <v>VRAJ</v>
      </c>
      <c r="Q16" t="str">
        <f t="shared" si="7"/>
        <v>sabapara</v>
      </c>
      <c r="R16">
        <f t="shared" si="8"/>
        <v>2</v>
      </c>
    </row>
  </sheetData>
  <mergeCells count="1">
    <mergeCell ref="A1:N1"/>
  </mergeCells>
  <dataValidations count="1">
    <dataValidation type="whole" allowBlank="1" showInputMessage="1" showErrorMessage="1" errorTitle="Error" error="Pls Enter Marks Between 33 and 100" promptTitle="Input" prompt="Enter Number Between 33 And 100" sqref="D3:H16">
      <formula1>33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2026-02-09T04:50:37Z</dcterms:created>
  <dcterms:modified xsi:type="dcterms:W3CDTF">2026-02-12T09:36:30Z</dcterms:modified>
</cp:coreProperties>
</file>