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D:\HARSHIL VADGASIYA\"/>
    </mc:Choice>
  </mc:AlternateContent>
  <bookViews>
    <workbookView xWindow="0" yWindow="0" windowWidth="28800" windowHeight="12915" activeTab="2"/>
  </bookViews>
  <sheets>
    <sheet name="Sheet1" sheetId="1" r:id="rId1"/>
    <sheet name="Sheet3" sheetId="3" r:id="rId2"/>
    <sheet name="Sheet4" sheetId="4" r:id="rId3"/>
    <sheet name="Sheet2" sheetId="2" r:id="rId4"/>
  </sheets>
  <definedNames>
    <definedName name="CE">Sheet4!$A$2:$A$5</definedName>
    <definedName name="ICT">Sheet4!$C$2:$C$5</definedName>
    <definedName name="IT">Sheet4!$B$2:$B$5</definedName>
    <definedName name="Slicer_Department">#N/A</definedName>
    <definedName name="Slicer_Product">#N/A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3" l="1"/>
  <c r="C5" i="3" s="1"/>
  <c r="D5" i="3" s="1"/>
  <c r="E5" i="3" s="1"/>
  <c r="F5" i="3" s="1"/>
  <c r="G5" i="3" s="1"/>
  <c r="H5" i="3" s="1"/>
  <c r="B6" i="3" s="1"/>
  <c r="C6" i="3" s="1"/>
  <c r="D6" i="3" s="1"/>
  <c r="E6" i="3" s="1"/>
  <c r="F6" i="3" s="1"/>
  <c r="G6" i="3" s="1"/>
  <c r="H6" i="3" s="1"/>
  <c r="B7" i="3" s="1"/>
  <c r="C7" i="3" s="1"/>
  <c r="D7" i="3" s="1"/>
  <c r="E7" i="3" s="1"/>
  <c r="F7" i="3" s="1"/>
  <c r="G7" i="3" s="1"/>
  <c r="H7" i="3" s="1"/>
  <c r="B8" i="3" s="1"/>
  <c r="C8" i="3" s="1"/>
  <c r="D8" i="3" s="1"/>
  <c r="E8" i="3" s="1"/>
  <c r="F8" i="3" s="1"/>
  <c r="G8" i="3" s="1"/>
  <c r="H8" i="3" s="1"/>
  <c r="B9" i="3" s="1"/>
  <c r="C9" i="3" s="1"/>
  <c r="D9" i="3" s="1"/>
  <c r="E9" i="3" s="1"/>
  <c r="F9" i="3" s="1"/>
  <c r="G9" i="3" s="1"/>
  <c r="H9" i="3" s="1"/>
  <c r="D15" i="1" l="1"/>
  <c r="C15" i="1"/>
  <c r="E3" i="2"/>
  <c r="E4" i="2"/>
  <c r="E5" i="2"/>
  <c r="E6" i="2"/>
  <c r="E7" i="2"/>
  <c r="E8" i="2"/>
  <c r="E9" i="2"/>
  <c r="E10" i="2"/>
  <c r="E11" i="2"/>
  <c r="E2" i="2"/>
  <c r="D3" i="2"/>
  <c r="D4" i="2"/>
  <c r="D5" i="2"/>
  <c r="D6" i="2"/>
  <c r="D7" i="2"/>
  <c r="D8" i="2"/>
  <c r="D9" i="2"/>
  <c r="D10" i="2"/>
  <c r="D11" i="2"/>
  <c r="D2" i="2"/>
</calcChain>
</file>

<file path=xl/sharedStrings.xml><?xml version="1.0" encoding="utf-8"?>
<sst xmlns="http://schemas.openxmlformats.org/spreadsheetml/2006/main" count="405" uniqueCount="74">
  <si>
    <t>ID</t>
  </si>
  <si>
    <t>Name</t>
  </si>
  <si>
    <t>Department</t>
  </si>
  <si>
    <t>Product</t>
  </si>
  <si>
    <t>Region</t>
  </si>
  <si>
    <t>Price</t>
  </si>
  <si>
    <t>Quantity</t>
  </si>
  <si>
    <t>Total</t>
  </si>
  <si>
    <t>Harshil</t>
  </si>
  <si>
    <t>Jay</t>
  </si>
  <si>
    <t>Shyam</t>
  </si>
  <si>
    <t>Savan</t>
  </si>
  <si>
    <t>Vraj</t>
  </si>
  <si>
    <t>Om</t>
  </si>
  <si>
    <t>Kishan</t>
  </si>
  <si>
    <t>Gami</t>
  </si>
  <si>
    <t>Jaimin</t>
  </si>
  <si>
    <t>Dharmraj</t>
  </si>
  <si>
    <t>CE</t>
  </si>
  <si>
    <t>CSE</t>
  </si>
  <si>
    <t>IT</t>
  </si>
  <si>
    <t>CS</t>
  </si>
  <si>
    <t>Mouse</t>
  </si>
  <si>
    <t>Laptop</t>
  </si>
  <si>
    <t>Keyboard</t>
  </si>
  <si>
    <t>North</t>
  </si>
  <si>
    <t>West</t>
  </si>
  <si>
    <t>East</t>
  </si>
  <si>
    <t>South</t>
  </si>
  <si>
    <t>Row Labels</t>
  </si>
  <si>
    <t>Grand Total</t>
  </si>
  <si>
    <t>Sum of Price</t>
  </si>
  <si>
    <t xml:space="preserve">SR </t>
  </si>
  <si>
    <t>ROLLNO</t>
  </si>
  <si>
    <t>STUDENT NAME</t>
  </si>
  <si>
    <t>TOTAL PRESENT</t>
  </si>
  <si>
    <t>TOTAL ABSENT</t>
  </si>
  <si>
    <t>Vadgasiya Harshil</t>
  </si>
  <si>
    <t>Gothi Kishan</t>
  </si>
  <si>
    <t>Makasana Shyam</t>
  </si>
  <si>
    <t>Kachrola Jay</t>
  </si>
  <si>
    <t>Patel Savan</t>
  </si>
  <si>
    <t>Zala Dharmraj</t>
  </si>
  <si>
    <t>Sabapara Vraj</t>
  </si>
  <si>
    <t>Amrutiya Om</t>
  </si>
  <si>
    <t>Makasana Jaimin</t>
  </si>
  <si>
    <t>Gami Kunj</t>
  </si>
  <si>
    <t>P</t>
  </si>
  <si>
    <t>A</t>
  </si>
  <si>
    <t>INPUT</t>
  </si>
  <si>
    <t>MATCH</t>
  </si>
  <si>
    <t>INDEX</t>
  </si>
  <si>
    <t>SUN</t>
  </si>
  <si>
    <t>MON</t>
  </si>
  <si>
    <t>TUE</t>
  </si>
  <si>
    <t>WED</t>
  </si>
  <si>
    <t>THURS</t>
  </si>
  <si>
    <t>FRI</t>
  </si>
  <si>
    <t>SAT</t>
  </si>
  <si>
    <t>March</t>
  </si>
  <si>
    <t>ICT</t>
  </si>
  <si>
    <t>Kohli</t>
  </si>
  <si>
    <t>Siraj</t>
  </si>
  <si>
    <t>Salt</t>
  </si>
  <si>
    <t>Yuzi</t>
  </si>
  <si>
    <t>Dhoni</t>
  </si>
  <si>
    <t>Ruturaj</t>
  </si>
  <si>
    <t>Samson</t>
  </si>
  <si>
    <t>Dube</t>
  </si>
  <si>
    <t>Rohit</t>
  </si>
  <si>
    <t>Bumrah</t>
  </si>
  <si>
    <t>Hardik</t>
  </si>
  <si>
    <t>Sky</t>
  </si>
  <si>
    <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</si>
</sst>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d"/>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 fillId="2" borderId="1" applyNumberFormat="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1" xfId="1"/>
    <xf numFmtId="0" fontId="0" fillId="0" borderId="0" xfId="0" applyAlignment="1">
      <alignment horizontal="center"/>
    </xf>
    <xf numFmtId="165" fontId="0" fillId="0" borderId="0" xfId="0" applyNumberFormat="1"/>
  </cellXfs>
  <cellStyles count="2">
    <cellStyle name="Check Cell" xfId="1" builtinId="23"/>
    <cellStyle name="Normal" xfId="0" builtinId="0"/>
  </cellStyles>
  <dxfs count="4">
    <dxf>
      <fill>
        <patternFill>
          <bgColor rgb="FF92D050"/>
        </patternFill>
      </fill>
    </dxf>
    <dxf>
      <fill>
        <patternFill>
          <bgColor rgb="FFFF0000"/>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[lab-11.xlsx]Sheet1!PivotTable2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Sheet1!$D$23</c:f>
              <c:strCache>
                <c:ptCount val="1"/>
                <c:pt idx="0">
                  <c:v>Total</c:v>
                </c:pt>
              </c:strCache>
            </c:strRef>
          </c:tx>
          <c:spPr>
            <a:solidFill>
              <a:schemeClr val="accent1"/>
            </a:solidFill>
            <a:ln>
              <a:noFill/>
            </a:ln>
            <a:effectLst/>
          </c:spPr>
          <c:invertIfNegative val="0"/>
          <c:cat>
            <c:strRef>
              <c:f>Sheet1!$C$24:$C$27</c:f>
              <c:strCache>
                <c:ptCount val="3"/>
                <c:pt idx="0">
                  <c:v>North</c:v>
                </c:pt>
                <c:pt idx="1">
                  <c:v>South</c:v>
                </c:pt>
                <c:pt idx="2">
                  <c:v>West</c:v>
                </c:pt>
              </c:strCache>
            </c:strRef>
          </c:cat>
          <c:val>
            <c:numRef>
              <c:f>Sheet1!$D$24:$D$27</c:f>
              <c:numCache>
                <c:formatCode>General</c:formatCode>
                <c:ptCount val="3"/>
                <c:pt idx="0">
                  <c:v>2100</c:v>
                </c:pt>
                <c:pt idx="1">
                  <c:v>720</c:v>
                </c:pt>
                <c:pt idx="2">
                  <c:v>5000</c:v>
                </c:pt>
              </c:numCache>
            </c:numRef>
          </c:val>
          <c:extLst>
            <c:ext xmlns:c16="http://schemas.microsoft.com/office/drawing/2014/chart" uri="{C3380CC4-5D6E-409C-BE32-E72D297353CC}">
              <c16:uniqueId val="{00000000-5E13-4CCB-AD1C-7C174BB42ADA}"/>
            </c:ext>
          </c:extLst>
        </c:ser>
        <c:dLbls>
          <c:showLegendKey val="0"/>
          <c:showVal val="0"/>
          <c:showCatName val="0"/>
          <c:showSerName val="0"/>
          <c:showPercent val="0"/>
          <c:showBubbleSize val="0"/>
        </c:dLbls>
        <c:gapWidth val="219"/>
        <c:overlap val="-27"/>
        <c:axId val="66545072"/>
        <c:axId val="66546320"/>
      </c:barChart>
      <c:catAx>
        <c:axId val="6654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6320"/>
        <c:crosses val="autoZero"/>
        <c:auto val="1"/>
        <c:lblAlgn val="ctr"/>
        <c:lblOffset val="100"/>
        <c:noMultiLvlLbl val="0"/>
      </c:catAx>
      <c:valAx>
        <c:axId val="6654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5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[lab-11.xlsx]Sheet1!PivotTable3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Sheet1!$G$23</c:f>
              <c:strCache>
                <c:ptCount val="1"/>
                <c:pt idx="0">
                  <c:v>Total</c:v>
                </c:pt>
              </c:strCache>
            </c:strRef>
          </c:tx>
          <c:spPr>
            <a:ln w="28575" cap="rnd">
              <a:solidFill>
                <a:schemeClr val="accent1"/>
              </a:solidFill>
              <a:round/>
            </a:ln>
            <a:effectLst/>
          </c:spPr>
          <c:marker>
            <c:symbol val="none"/>
          </c:marker>
          <c:cat>
            <c:strRef>
              <c:f>Sheet1!$F$24:$F$27</c:f>
              <c:strCache>
                <c:ptCount val="3"/>
                <c:pt idx="0">
                  <c:v>Keyboard</c:v>
                </c:pt>
                <c:pt idx="1">
                  <c:v>Laptop</c:v>
                </c:pt>
                <c:pt idx="2">
                  <c:v>Mouse</c:v>
                </c:pt>
              </c:strCache>
            </c:strRef>
          </c:cat>
          <c:val>
            <c:numRef>
              <c:f>Sheet1!$G$24:$G$27</c:f>
              <c:numCache>
                <c:formatCode>General</c:formatCode>
                <c:ptCount val="3"/>
                <c:pt idx="0">
                  <c:v>3220</c:v>
                </c:pt>
                <c:pt idx="1">
                  <c:v>14700</c:v>
                </c:pt>
                <c:pt idx="2">
                  <c:v>990</c:v>
                </c:pt>
              </c:numCache>
            </c:numRef>
          </c:val>
          <c:smooth val="0"/>
          <c:extLst>
            <c:ext xmlns:c16="http://schemas.microsoft.com/office/drawing/2014/chart" uri="{C3380CC4-5D6E-409C-BE32-E72D297353CC}">
              <c16:uniqueId val="{00000000-669F-47DD-A265-197FF49AA57E}"/>
            </c:ext>
          </c:extLst>
        </c:ser>
        <c:dLbls>
          <c:showLegendKey val="0"/>
          <c:showVal val="0"/>
          <c:showCatName val="0"/>
          <c:showSerName val="0"/>
          <c:showPercent val="0"/>
          <c:showBubbleSize val="0"/>
        </c:dLbls>
        <c:smooth val="0"/>
        <c:axId val="182454080"/>
        <c:axId val="182457408"/>
      </c:lineChart>
      <c:catAx>
        <c:axId val="18245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57408"/>
        <c:crosses val="autoZero"/>
        <c:auto val="1"/>
        <c:lblAlgn val="ctr"/>
        <c:lblOffset val="100"/>
        <c:noMultiLvlLbl val="0"/>
      </c:catAx>
      <c:valAx>
        <c:axId val="18245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5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16</xdr:col>
      <xdr:colOff>328979</xdr:colOff>
      <xdr:row>0</xdr:row>
      <xdr:rowOff>121628</xdr:rowOff>
    </xdr:from>
    <xdr:to>
      <xdr:col>19</xdr:col>
      <xdr:colOff>333375</xdr:colOff>
      <xdr:row>13</xdr:row>
      <xdr:rowOff>169253</xdr:rowOff>
    </xdr:to>
    <mc:AlternateContent xmlns:mc="http://schemas.openxmlformats.org/markup-compatibility/2006" xmlns:a14="http://schemas.microsoft.com/office/drawing/2010/main">
      <mc:Choice Requires="a14">
        <xdr:graphicFrame macro="">
          <xdr:nvGraphicFramePr>
            <xdr:cNvPr id="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61255" y="121628"/>
              <a:ext cx="183713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460863</xdr:colOff>
      <xdr:row>0</xdr:row>
      <xdr:rowOff>84993</xdr:rowOff>
    </xdr:from>
    <xdr:to>
      <xdr:col>12</xdr:col>
      <xdr:colOff>465258</xdr:colOff>
      <xdr:row>13</xdr:row>
      <xdr:rowOff>132618</xdr:rowOff>
    </xdr:to>
    <mc:AlternateContent xmlns:mc="http://schemas.openxmlformats.org/markup-compatibility/2006" xmlns:a14="http://schemas.microsoft.com/office/drawing/2010/main">
      <mc:Choice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116742" y="84993"/>
              <a:ext cx="183713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123825</xdr:colOff>
      <xdr:row>0</xdr:row>
      <xdr:rowOff>92319</xdr:rowOff>
    </xdr:from>
    <xdr:to>
      <xdr:col>16</xdr:col>
      <xdr:colOff>128221</xdr:colOff>
      <xdr:row>13</xdr:row>
      <xdr:rowOff>139944</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23359" y="92319"/>
              <a:ext cx="1837138"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47625</xdr:colOff>
      <xdr:row>14</xdr:row>
      <xdr:rowOff>178043</xdr:rowOff>
    </xdr:from>
    <xdr:to>
      <xdr:col>20</xdr:col>
      <xdr:colOff>362682</xdr:colOff>
      <xdr:row>29</xdr:row>
      <xdr:rowOff>63743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588049</xdr:colOff>
      <xdr:row>30</xdr:row>
      <xdr:rowOff>55507</xdr:rowOff>
    </xdr:from>
    <xdr:to>
      <xdr:col>20</xdr:col>
      <xdr:colOff>68847</xdr:colOff>
      <xdr:row>44</xdr:row>
      <xdr:rowOff>131707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tudent" refreshedDate="46083.433976504632" createdVersion="6" refreshedVersion="6" minRefreshableVersion="3" recordCount="10">
  <cacheSource type="worksheet">
    <worksheetSource ref="A1:H11" sheet="Sheet1"/>
  </cacheSource>
  <cacheFields count="8">
    <cacheField name="ID" numFmtId="0">
      <sharedItems containsSemiMixedTypes="0" containsString="0" containsNumber="1" containsInteger="1" minValue="101" maxValue="110"/>
    </cacheField>
    <cacheField name="Name" numFmtId="0">
      <sharedItems/>
    </cacheField>
    <cacheField name="Department" numFmtId="0">
      <sharedItems count="4">
        <s v="CE"/>
        <s v="CSE"/>
        <s v="IT"/>
        <s v="CS"/>
      </sharedItems>
    </cacheField>
    <cacheField name="Product" numFmtId="0">
      <sharedItems count="3">
        <s v="Mouse"/>
        <s v="Laptop"/>
        <s v="Keyboard"/>
      </sharedItems>
    </cacheField>
    <cacheField name="Region" numFmtId="0">
      <sharedItems count="4">
        <s v="North"/>
        <s v="West"/>
        <s v="East"/>
        <s v="South"/>
      </sharedItems>
    </cacheField>
    <cacheField name="Price" numFmtId="0">
      <sharedItems containsSemiMixedTypes="0" containsString="0" containsNumber="1" containsInteger="1" minValue="90" maxValue="5200"/>
    </cacheField>
    <cacheField name="Quantity" numFmtId="0">
      <sharedItems containsSemiMixedTypes="0" containsString="0" containsNumber="1" containsInteger="1" minValue="1" maxValue="3"/>
    </cacheField>
    <cacheField name="Total" numFmtId="0">
      <sharedItems containsSemiMixedTypes="0" containsString="0" containsNumber="1" containsInteger="1" minValue="90" maxValue="13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1"/>
    <s v="Harshil"/>
    <x v="0"/>
    <x v="0"/>
    <x v="0"/>
    <n v="200"/>
    <n v="3"/>
    <n v="600"/>
  </r>
  <r>
    <n v="102"/>
    <s v="Jay"/>
    <x v="1"/>
    <x v="1"/>
    <x v="1"/>
    <n v="5000"/>
    <n v="1"/>
    <n v="5000"/>
  </r>
  <r>
    <n v="103"/>
    <s v="Shyam"/>
    <x v="0"/>
    <x v="2"/>
    <x v="2"/>
    <n v="1000"/>
    <n v="2"/>
    <n v="2000"/>
  </r>
  <r>
    <n v="104"/>
    <s v="Savan"/>
    <x v="1"/>
    <x v="0"/>
    <x v="3"/>
    <n v="600"/>
    <n v="3"/>
    <n v="1800"/>
  </r>
  <r>
    <n v="105"/>
    <s v="Vraj"/>
    <x v="2"/>
    <x v="1"/>
    <x v="3"/>
    <n v="5200"/>
    <n v="2"/>
    <n v="10400"/>
  </r>
  <r>
    <n v="106"/>
    <s v="Om"/>
    <x v="1"/>
    <x v="2"/>
    <x v="0"/>
    <n v="2100"/>
    <n v="2"/>
    <n v="4200"/>
  </r>
  <r>
    <n v="107"/>
    <s v="Kishan"/>
    <x v="2"/>
    <x v="0"/>
    <x v="2"/>
    <n v="100"/>
    <n v="1"/>
    <n v="100"/>
  </r>
  <r>
    <n v="108"/>
    <s v="Gami"/>
    <x v="2"/>
    <x v="1"/>
    <x v="1"/>
    <n v="4500"/>
    <n v="3"/>
    <n v="13500"/>
  </r>
  <r>
    <n v="109"/>
    <s v="Jaimin"/>
    <x v="1"/>
    <x v="2"/>
    <x v="3"/>
    <n v="120"/>
    <n v="2"/>
    <n v="240"/>
  </r>
  <r>
    <n v="110"/>
    <s v="Dharmraj"/>
    <x v="3"/>
    <x v="0"/>
    <x v="0"/>
    <n v="90"/>
    <n v="1"/>
    <n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C23:D27" firstHeaderRow="1" firstDataRow="1" firstDataCol="1"/>
  <pivotFields count="8">
    <pivotField showAll="0"/>
    <pivotField showAll="0"/>
    <pivotField showAll="0">
      <items count="5">
        <item h="1" x="0"/>
        <item h="1" x="3"/>
        <item x="1"/>
        <item h="1" x="2"/>
        <item t="default"/>
      </items>
    </pivotField>
    <pivotField showAll="0">
      <items count="4">
        <item x="2"/>
        <item x="1"/>
        <item x="0"/>
        <item t="default"/>
      </items>
    </pivotField>
    <pivotField axis="axisRow" showAll="0">
      <items count="5">
        <item x="2"/>
        <item x="0"/>
        <item x="3"/>
        <item x="1"/>
        <item t="default"/>
      </items>
    </pivotField>
    <pivotField dataField="1" showAll="0"/>
    <pivotField showAll="0"/>
    <pivotField showAll="0"/>
  </pivotFields>
  <rowFields count="1">
    <field x="4"/>
  </rowFields>
  <rowItems count="4">
    <i>
      <x v="1"/>
    </i>
    <i>
      <x v="2"/>
    </i>
    <i>
      <x v="3"/>
    </i>
    <i t="grand">
      <x/>
    </i>
  </rowItems>
  <colItems count="1">
    <i/>
  </colItems>
  <dataFields count="1">
    <dataField name="Sum of Pric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F23:G27" firstHeaderRow="1" firstDataRow="1" firstDataCol="1"/>
  <pivotFields count="8">
    <pivotField showAll="0"/>
    <pivotField showAll="0"/>
    <pivotField showAll="0"/>
    <pivotField axis="axisRow" showAll="0">
      <items count="4">
        <item x="2"/>
        <item x="1"/>
        <item x="0"/>
        <item t="default"/>
      </items>
    </pivotField>
    <pivotField showAll="0"/>
    <pivotField dataField="1" showAll="0"/>
    <pivotField showAll="0"/>
    <pivotField showAll="0"/>
  </pivotFields>
  <rowFields count="1">
    <field x="3"/>
  </rowFields>
  <rowItems count="4">
    <i>
      <x/>
    </i>
    <i>
      <x v="1"/>
    </i>
    <i>
      <x v="2"/>
    </i>
    <i t="grand">
      <x/>
    </i>
  </rowItems>
  <colItems count="1">
    <i/>
  </colItems>
  <dataFields count="1">
    <dataField name="Sum of Pric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 name="PivotTable2"/>
  </pivotTables>
  <data>
    <tabular pivotCacheId="1">
      <items count="4">
        <i x="0"/>
        <i x="3"/>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 name="PivotTable2"/>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2"/>
  </pivotTables>
  <data>
    <tabular pivotCacheId="1">
      <items count="4">
        <i x="0" s="1"/>
        <i x="3"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Product" cache="Slicer_Product" caption="Product"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7"/>
  <sheetViews>
    <sheetView zoomScale="145" zoomScaleNormal="145" workbookViewId="0">
      <selection activeCell="E19" sqref="E19"/>
    </sheetView>
  </sheetViews>
  <sheetFormatPr defaultRowHeight="15" x14ac:dyDescent="0.25"/>
  <cols>
    <col min="1" max="1" width="4.140625" bestFit="1" customWidth="1"/>
    <col min="2" max="2" width="9.140625" bestFit="1" customWidth="1"/>
    <col min="3" max="3" width="11.7109375" bestFit="1" customWidth="1"/>
    <col min="4" max="4" width="12" bestFit="1" customWidth="1"/>
    <col min="5" max="5" width="7.140625" bestFit="1" customWidth="1"/>
    <col min="6" max="6" width="13.140625" bestFit="1" customWidth="1"/>
    <col min="7" max="7" width="12" bestFit="1" customWidth="1"/>
    <col min="8" max="8" width="6.28515625" bestFit="1" customWidth="1"/>
  </cols>
  <sheetData>
    <row r="1" spans="1:8" x14ac:dyDescent="0.25">
      <c r="A1" t="s">
        <v>0</v>
      </c>
      <c r="B1" t="s">
        <v>1</v>
      </c>
      <c r="C1" t="s">
        <v>2</v>
      </c>
      <c r="D1" t="s">
        <v>3</v>
      </c>
      <c r="E1" t="s">
        <v>4</v>
      </c>
      <c r="F1" t="s">
        <v>5</v>
      </c>
      <c r="G1" t="s">
        <v>6</v>
      </c>
      <c r="H1" t="s">
        <v>7</v>
      </c>
    </row>
    <row r="2" spans="1:8" x14ac:dyDescent="0.25">
      <c r="A2">
        <v>101</v>
      </c>
      <c r="B2" t="s">
        <v>8</v>
      </c>
      <c r="C2" t="s">
        <v>18</v>
      </c>
      <c r="D2" t="s">
        <v>22</v>
      </c>
      <c r="E2" t="s">
        <v>25</v>
      </c>
      <c r="F2">
        <v>200</v>
      </c>
      <c r="G2">
        <v>3</v>
      </c>
      <c r="H2">
        <v>600</v>
      </c>
    </row>
    <row r="3" spans="1:8" x14ac:dyDescent="0.25">
      <c r="A3">
        <v>102</v>
      </c>
      <c r="B3" t="s">
        <v>9</v>
      </c>
      <c r="C3" t="s">
        <v>19</v>
      </c>
      <c r="D3" t="s">
        <v>23</v>
      </c>
      <c r="E3" t="s">
        <v>26</v>
      </c>
      <c r="F3">
        <v>5000</v>
      </c>
      <c r="G3">
        <v>1</v>
      </c>
      <c r="H3">
        <v>5000</v>
      </c>
    </row>
    <row r="4" spans="1:8" x14ac:dyDescent="0.25">
      <c r="A4">
        <v>103</v>
      </c>
      <c r="B4" t="s">
        <v>10</v>
      </c>
      <c r="C4" t="s">
        <v>18</v>
      </c>
      <c r="D4" t="s">
        <v>24</v>
      </c>
      <c r="E4" t="s">
        <v>27</v>
      </c>
      <c r="F4">
        <v>1000</v>
      </c>
      <c r="G4">
        <v>2</v>
      </c>
      <c r="H4">
        <v>2000</v>
      </c>
    </row>
    <row r="5" spans="1:8" x14ac:dyDescent="0.25">
      <c r="A5">
        <v>104</v>
      </c>
      <c r="B5" t="s">
        <v>11</v>
      </c>
      <c r="C5" t="s">
        <v>19</v>
      </c>
      <c r="D5" t="s">
        <v>22</v>
      </c>
      <c r="E5" t="s">
        <v>28</v>
      </c>
      <c r="F5">
        <v>600</v>
      </c>
      <c r="G5">
        <v>3</v>
      </c>
      <c r="H5">
        <v>1800</v>
      </c>
    </row>
    <row r="6" spans="1:8" x14ac:dyDescent="0.25">
      <c r="A6">
        <v>105</v>
      </c>
      <c r="B6" t="s">
        <v>12</v>
      </c>
      <c r="C6" t="s">
        <v>20</v>
      </c>
      <c r="D6" t="s">
        <v>23</v>
      </c>
      <c r="E6" t="s">
        <v>28</v>
      </c>
      <c r="F6">
        <v>5200</v>
      </c>
      <c r="G6">
        <v>2</v>
      </c>
      <c r="H6">
        <v>10400</v>
      </c>
    </row>
    <row r="7" spans="1:8" x14ac:dyDescent="0.25">
      <c r="A7">
        <v>106</v>
      </c>
      <c r="B7" t="s">
        <v>13</v>
      </c>
      <c r="C7" t="s">
        <v>19</v>
      </c>
      <c r="D7" t="s">
        <v>24</v>
      </c>
      <c r="E7" t="s">
        <v>25</v>
      </c>
      <c r="F7">
        <v>2100</v>
      </c>
      <c r="G7">
        <v>2</v>
      </c>
      <c r="H7">
        <v>4200</v>
      </c>
    </row>
    <row r="8" spans="1:8" x14ac:dyDescent="0.25">
      <c r="A8">
        <v>107</v>
      </c>
      <c r="B8" t="s">
        <v>14</v>
      </c>
      <c r="C8" t="s">
        <v>20</v>
      </c>
      <c r="D8" t="s">
        <v>22</v>
      </c>
      <c r="E8" t="s">
        <v>27</v>
      </c>
      <c r="F8">
        <v>100</v>
      </c>
      <c r="G8">
        <v>1</v>
      </c>
      <c r="H8">
        <v>100</v>
      </c>
    </row>
    <row r="9" spans="1:8" x14ac:dyDescent="0.25">
      <c r="A9">
        <v>108</v>
      </c>
      <c r="B9" t="s">
        <v>15</v>
      </c>
      <c r="C9" t="s">
        <v>20</v>
      </c>
      <c r="D9" t="s">
        <v>23</v>
      </c>
      <c r="E9" t="s">
        <v>26</v>
      </c>
      <c r="F9">
        <v>4500</v>
      </c>
      <c r="G9">
        <v>3</v>
      </c>
      <c r="H9">
        <v>13500</v>
      </c>
    </row>
    <row r="10" spans="1:8" x14ac:dyDescent="0.25">
      <c r="A10">
        <v>109</v>
      </c>
      <c r="B10" t="s">
        <v>16</v>
      </c>
      <c r="C10" t="s">
        <v>19</v>
      </c>
      <c r="D10" t="s">
        <v>24</v>
      </c>
      <c r="E10" t="s">
        <v>28</v>
      </c>
      <c r="F10">
        <v>120</v>
      </c>
      <c r="G10">
        <v>2</v>
      </c>
      <c r="H10">
        <v>240</v>
      </c>
    </row>
    <row r="11" spans="1:8" x14ac:dyDescent="0.25">
      <c r="A11">
        <v>110</v>
      </c>
      <c r="B11" t="s">
        <v>17</v>
      </c>
      <c r="C11" t="s">
        <v>21</v>
      </c>
      <c r="D11" t="s">
        <v>22</v>
      </c>
      <c r="E11" t="s">
        <v>25</v>
      </c>
      <c r="F11">
        <v>90</v>
      </c>
      <c r="G11">
        <v>1</v>
      </c>
      <c r="H11">
        <v>90</v>
      </c>
    </row>
    <row r="14" spans="1:8" x14ac:dyDescent="0.25">
      <c r="B14" t="s">
        <v>49</v>
      </c>
      <c r="C14" t="s">
        <v>50</v>
      </c>
      <c r="D14" t="s">
        <v>51</v>
      </c>
    </row>
    <row r="15" spans="1:8" x14ac:dyDescent="0.25">
      <c r="B15">
        <v>101</v>
      </c>
      <c r="C15">
        <f>MATCH(B15,A2:A11,0)</f>
        <v>1</v>
      </c>
      <c r="D15" t="str">
        <f>INDEX(B2:B11,MATCH(B15,A2:A11,0))</f>
        <v>Harshil</v>
      </c>
    </row>
    <row r="23" spans="3:7" x14ac:dyDescent="0.25">
      <c r="C23" s="1" t="s">
        <v>29</v>
      </c>
      <c r="D23" t="s">
        <v>31</v>
      </c>
      <c r="F23" s="1" t="s">
        <v>29</v>
      </c>
      <c r="G23" t="s">
        <v>31</v>
      </c>
    </row>
    <row r="24" spans="3:7" x14ac:dyDescent="0.25">
      <c r="C24" s="2" t="s">
        <v>25</v>
      </c>
      <c r="D24" s="3">
        <v>2100</v>
      </c>
      <c r="F24" s="2" t="s">
        <v>24</v>
      </c>
      <c r="G24" s="3">
        <v>3220</v>
      </c>
    </row>
    <row r="25" spans="3:7" x14ac:dyDescent="0.25">
      <c r="C25" s="2" t="s">
        <v>28</v>
      </c>
      <c r="D25" s="3">
        <v>720</v>
      </c>
      <c r="F25" s="2" t="s">
        <v>23</v>
      </c>
      <c r="G25" s="3">
        <v>14700</v>
      </c>
    </row>
    <row r="26" spans="3:7" x14ac:dyDescent="0.25">
      <c r="C26" s="2" t="s">
        <v>26</v>
      </c>
      <c r="D26" s="3">
        <v>5000</v>
      </c>
      <c r="F26" s="2" t="s">
        <v>22</v>
      </c>
      <c r="G26" s="3">
        <v>990</v>
      </c>
    </row>
    <row r="27" spans="3:7" x14ac:dyDescent="0.25">
      <c r="C27" s="2" t="s">
        <v>30</v>
      </c>
      <c r="D27" s="3">
        <v>7820</v>
      </c>
      <c r="F27" s="2" t="s">
        <v>30</v>
      </c>
      <c r="G27" s="3">
        <v>18910</v>
      </c>
    </row>
  </sheetData>
  <dataConsolidate/>
  <conditionalFormatting sqref="F2:F11">
    <cfRule type="cellIs" dxfId="3" priority="2" operator="greaterThanOrEqual">
      <formula>1000</formula>
    </cfRule>
  </conditionalFormatting>
  <conditionalFormatting sqref="H2:H11">
    <cfRule type="cellIs" dxfId="2" priority="1" operator="greaterThanOrEqual">
      <formula>5000</formula>
    </cfRule>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9"/>
  <sheetViews>
    <sheetView zoomScale="190" zoomScaleNormal="190" workbookViewId="0">
      <selection activeCell="B3" sqref="B3:E3"/>
    </sheetView>
  </sheetViews>
  <sheetFormatPr defaultRowHeight="15" x14ac:dyDescent="0.25"/>
  <cols>
    <col min="2" max="8" width="10.7109375" bestFit="1" customWidth="1"/>
  </cols>
  <sheetData>
    <row r="3" spans="2:8" x14ac:dyDescent="0.25">
      <c r="B3" s="5" t="s">
        <v>59</v>
      </c>
      <c r="C3" s="5"/>
      <c r="D3" s="5"/>
      <c r="E3" s="5"/>
      <c r="F3" s="5">
        <v>2026</v>
      </c>
      <c r="G3" s="5"/>
      <c r="H3" s="5"/>
    </row>
    <row r="4" spans="2:8" x14ac:dyDescent="0.25">
      <c r="B4" t="s">
        <v>52</v>
      </c>
      <c r="C4" t="s">
        <v>53</v>
      </c>
      <c r="D4" t="s">
        <v>54</v>
      </c>
      <c r="E4" t="s">
        <v>55</v>
      </c>
      <c r="F4" t="s">
        <v>56</v>
      </c>
      <c r="G4" t="s">
        <v>57</v>
      </c>
      <c r="H4" t="s">
        <v>58</v>
      </c>
    </row>
    <row r="5" spans="2:8" x14ac:dyDescent="0.25">
      <c r="B5" s="6">
        <f>DATE(F3,MONTH(1&amp;B3),1)-WEEKDAY(B3&amp;F3)+1</f>
        <v>46082</v>
      </c>
      <c r="C5" s="6">
        <f>B5+1</f>
        <v>46083</v>
      </c>
      <c r="D5" s="6">
        <f>C5+1</f>
        <v>46084</v>
      </c>
      <c r="E5" s="6">
        <f>D5+1</f>
        <v>46085</v>
      </c>
      <c r="F5" s="6">
        <f>E5+1</f>
        <v>46086</v>
      </c>
      <c r="G5" s="6">
        <f>F5+1</f>
        <v>46087</v>
      </c>
      <c r="H5" s="6">
        <f>G5+1</f>
        <v>46088</v>
      </c>
    </row>
    <row r="6" spans="2:8" x14ac:dyDescent="0.25">
      <c r="B6" s="6">
        <f>H5+1</f>
        <v>46089</v>
      </c>
      <c r="C6" s="6">
        <f>B6+1</f>
        <v>46090</v>
      </c>
      <c r="D6" s="6">
        <f>C6+1</f>
        <v>46091</v>
      </c>
      <c r="E6" s="6">
        <f>D6+1</f>
        <v>46092</v>
      </c>
      <c r="F6" s="6">
        <f>E6+1</f>
        <v>46093</v>
      </c>
      <c r="G6" s="6">
        <f>F6+1</f>
        <v>46094</v>
      </c>
      <c r="H6" s="6">
        <f>G6+1</f>
        <v>46095</v>
      </c>
    </row>
    <row r="7" spans="2:8" x14ac:dyDescent="0.25">
      <c r="B7" s="6">
        <f>H6+1</f>
        <v>46096</v>
      </c>
      <c r="C7" s="6">
        <f>B7+1</f>
        <v>46097</v>
      </c>
      <c r="D7" s="6">
        <f>C7+1</f>
        <v>46098</v>
      </c>
      <c r="E7" s="6">
        <f>D7+1</f>
        <v>46099</v>
      </c>
      <c r="F7" s="6">
        <f>E7+1</f>
        <v>46100</v>
      </c>
      <c r="G7" s="6">
        <f>F7+1</f>
        <v>46101</v>
      </c>
      <c r="H7" s="6">
        <f>G7+1</f>
        <v>46102</v>
      </c>
    </row>
    <row r="8" spans="2:8" x14ac:dyDescent="0.25">
      <c r="B8" s="6">
        <f>H7+1</f>
        <v>46103</v>
      </c>
      <c r="C8" s="6">
        <f>B8+1</f>
        <v>46104</v>
      </c>
      <c r="D8" s="6">
        <f>C8+1</f>
        <v>46105</v>
      </c>
      <c r="E8" s="6">
        <f>D8+1</f>
        <v>46106</v>
      </c>
      <c r="F8" s="6">
        <f t="shared" ref="F8:G9" si="0">E8+1</f>
        <v>46107</v>
      </c>
      <c r="G8" s="6">
        <f t="shared" si="0"/>
        <v>46108</v>
      </c>
      <c r="H8" s="6">
        <f>G8+1</f>
        <v>46109</v>
      </c>
    </row>
    <row r="9" spans="2:8" x14ac:dyDescent="0.25">
      <c r="B9" s="6">
        <f>H8+1</f>
        <v>46110</v>
      </c>
      <c r="C9" s="6">
        <f>B9+1</f>
        <v>46111</v>
      </c>
      <c r="D9" s="6">
        <f>C9+1</f>
        <v>46112</v>
      </c>
      <c r="E9" s="6">
        <f>D9+1</f>
        <v>46113</v>
      </c>
      <c r="F9" s="6">
        <f t="shared" si="0"/>
        <v>46114</v>
      </c>
      <c r="G9" s="6">
        <f t="shared" si="0"/>
        <v>46115</v>
      </c>
      <c r="H9" s="6">
        <f>G9+1</f>
        <v>46116</v>
      </c>
    </row>
  </sheetData>
  <mergeCells count="2">
    <mergeCell ref="B3:E3"/>
    <mergeCell ref="F3:H3"/>
  </mergeCells>
  <dataValidations count="2">
    <dataValidation type="list" allowBlank="1" showInputMessage="1" showErrorMessage="1" sqref="B3:E3">
      <formula1>"January,February,March,April,May,June,July,August,September,October,November,December"</formula1>
    </dataValidation>
    <dataValidation type="list" allowBlank="1" showInputMessage="1" showErrorMessage="1" sqref="F3:H3">
      <formula1>"2023,2024,2025,2026,2027,2028,2029"</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tabSelected="1" zoomScale="235" zoomScaleNormal="235" workbookViewId="0">
      <selection activeCell="B9" sqref="B9:B10"/>
    </sheetView>
  </sheetViews>
  <sheetFormatPr defaultRowHeight="15" x14ac:dyDescent="0.25"/>
  <sheetData>
    <row r="1" spans="1:3" x14ac:dyDescent="0.25">
      <c r="A1" t="s">
        <v>18</v>
      </c>
      <c r="B1" t="s">
        <v>20</v>
      </c>
      <c r="C1" t="s">
        <v>60</v>
      </c>
    </row>
    <row r="2" spans="1:3" x14ac:dyDescent="0.25">
      <c r="A2" t="s">
        <v>61</v>
      </c>
      <c r="B2" t="s">
        <v>65</v>
      </c>
      <c r="C2" t="s">
        <v>69</v>
      </c>
    </row>
    <row r="3" spans="1:3" x14ac:dyDescent="0.25">
      <c r="A3" t="s">
        <v>62</v>
      </c>
      <c r="B3" t="s">
        <v>66</v>
      </c>
      <c r="C3" t="s">
        <v>70</v>
      </c>
    </row>
    <row r="4" spans="1:3" x14ac:dyDescent="0.25">
      <c r="A4" t="s">
        <v>63</v>
      </c>
      <c r="B4" t="s">
        <v>67</v>
      </c>
      <c r="C4" t="s">
        <v>71</v>
      </c>
    </row>
    <row r="5" spans="1:3" x14ac:dyDescent="0.25">
      <c r="A5" t="s">
        <v>64</v>
      </c>
      <c r="B5" t="s">
        <v>68</v>
      </c>
      <c r="C5" t="s">
        <v>72</v>
      </c>
    </row>
    <row r="7" spans="1:3" x14ac:dyDescent="0.25">
      <c r="A7" t="s">
        <v>1</v>
      </c>
      <c r="B7" t="s">
        <v>73</v>
      </c>
    </row>
    <row r="8" spans="1:3" x14ac:dyDescent="0.25">
      <c r="A8" t="s">
        <v>20</v>
      </c>
      <c r="B8" t="s">
        <v>65</v>
      </c>
    </row>
  </sheetData>
  <dataConsolidate/>
  <dataValidations count="2">
    <dataValidation type="list" allowBlank="1" showInputMessage="1" showErrorMessage="1" sqref="A8">
      <formula1>$A$1:$C$1</formula1>
    </dataValidation>
    <dataValidation type="list" allowBlank="1" showInputMessage="1" showErrorMessage="1" sqref="B8">
      <formula1>INDIRECT($A$8)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zoomScale="190" zoomScaleNormal="190" workbookViewId="0">
      <selection activeCell="J8" sqref="J8"/>
    </sheetView>
  </sheetViews>
  <sheetFormatPr defaultRowHeight="15" x14ac:dyDescent="0.25"/>
  <cols>
    <col min="1" max="1" width="3.5703125" bestFit="1" customWidth="1"/>
    <col min="2" max="2" width="9.28515625" customWidth="1"/>
    <col min="3" max="3" width="16.5703125" bestFit="1" customWidth="1"/>
    <col min="4" max="4" width="14.85546875" bestFit="1" customWidth="1"/>
    <col min="5" max="5" width="14" bestFit="1" customWidth="1"/>
  </cols>
  <sheetData>
    <row r="1" spans="1:35" ht="16.5" thickTop="1" thickBot="1" x14ac:dyDescent="0.3">
      <c r="A1" s="4" t="s">
        <v>32</v>
      </c>
      <c r="B1" s="4" t="s">
        <v>33</v>
      </c>
      <c r="C1" s="4" t="s">
        <v>34</v>
      </c>
      <c r="D1" s="4" t="s">
        <v>35</v>
      </c>
      <c r="E1" s="4" t="s">
        <v>36</v>
      </c>
      <c r="F1">
        <v>1</v>
      </c>
      <c r="G1">
        <v>2</v>
      </c>
      <c r="H1">
        <v>3</v>
      </c>
      <c r="I1">
        <v>4</v>
      </c>
      <c r="J1">
        <v>5</v>
      </c>
      <c r="K1">
        <v>6</v>
      </c>
      <c r="L1">
        <v>7</v>
      </c>
      <c r="M1">
        <v>8</v>
      </c>
      <c r="N1">
        <v>9</v>
      </c>
      <c r="O1">
        <v>10</v>
      </c>
      <c r="P1">
        <v>11</v>
      </c>
      <c r="Q1">
        <v>12</v>
      </c>
      <c r="R1">
        <v>13</v>
      </c>
      <c r="S1">
        <v>14</v>
      </c>
      <c r="T1">
        <v>15</v>
      </c>
      <c r="U1">
        <v>16</v>
      </c>
      <c r="V1">
        <v>17</v>
      </c>
      <c r="W1">
        <v>18</v>
      </c>
      <c r="X1">
        <v>19</v>
      </c>
      <c r="Y1">
        <v>20</v>
      </c>
      <c r="Z1">
        <v>21</v>
      </c>
      <c r="AA1">
        <v>22</v>
      </c>
      <c r="AB1">
        <v>23</v>
      </c>
      <c r="AC1">
        <v>24</v>
      </c>
      <c r="AD1">
        <v>25</v>
      </c>
      <c r="AE1">
        <v>26</v>
      </c>
      <c r="AF1">
        <v>27</v>
      </c>
      <c r="AG1">
        <v>28</v>
      </c>
      <c r="AH1">
        <v>29</v>
      </c>
      <c r="AI1">
        <v>30</v>
      </c>
    </row>
    <row r="2" spans="1:35" ht="15.75" thickTop="1" x14ac:dyDescent="0.25">
      <c r="A2">
        <v>1</v>
      </c>
      <c r="B2">
        <v>101</v>
      </c>
      <c r="C2" t="s">
        <v>37</v>
      </c>
      <c r="D2">
        <f>COUNTIF(F2:AI2,"P")</f>
        <v>26</v>
      </c>
      <c r="E2">
        <f>COUNTIF(F2:AI2,"A")</f>
        <v>4</v>
      </c>
      <c r="F2" t="s">
        <v>47</v>
      </c>
      <c r="G2" t="s">
        <v>47</v>
      </c>
      <c r="H2" t="s">
        <v>48</v>
      </c>
      <c r="I2" t="s">
        <v>47</v>
      </c>
      <c r="J2" t="s">
        <v>48</v>
      </c>
      <c r="K2" t="s">
        <v>47</v>
      </c>
      <c r="L2" t="s">
        <v>48</v>
      </c>
      <c r="M2" t="s">
        <v>47</v>
      </c>
      <c r="N2" t="s">
        <v>47</v>
      </c>
      <c r="O2" t="s">
        <v>47</v>
      </c>
      <c r="P2" t="s">
        <v>47</v>
      </c>
      <c r="Q2" t="s">
        <v>47</v>
      </c>
      <c r="R2" t="s">
        <v>47</v>
      </c>
      <c r="S2" t="s">
        <v>47</v>
      </c>
      <c r="T2" t="s">
        <v>47</v>
      </c>
      <c r="U2" t="s">
        <v>47</v>
      </c>
      <c r="V2" t="s">
        <v>47</v>
      </c>
      <c r="W2" t="s">
        <v>47</v>
      </c>
      <c r="X2" t="s">
        <v>47</v>
      </c>
      <c r="Y2" t="s">
        <v>47</v>
      </c>
      <c r="Z2" t="s">
        <v>47</v>
      </c>
      <c r="AA2" t="s">
        <v>47</v>
      </c>
      <c r="AB2" t="s">
        <v>48</v>
      </c>
      <c r="AC2" t="s">
        <v>47</v>
      </c>
      <c r="AD2" t="s">
        <v>47</v>
      </c>
      <c r="AE2" t="s">
        <v>47</v>
      </c>
      <c r="AF2" t="s">
        <v>47</v>
      </c>
      <c r="AG2" t="s">
        <v>47</v>
      </c>
      <c r="AH2" t="s">
        <v>47</v>
      </c>
      <c r="AI2" t="s">
        <v>47</v>
      </c>
    </row>
    <row r="3" spans="1:35" x14ac:dyDescent="0.25">
      <c r="A3">
        <v>2</v>
      </c>
      <c r="B3">
        <v>102</v>
      </c>
      <c r="C3" t="s">
        <v>38</v>
      </c>
      <c r="D3">
        <f t="shared" ref="D3:D11" si="0">COUNTIF(F3:AI3,"P")</f>
        <v>26</v>
      </c>
      <c r="E3">
        <f t="shared" ref="E3:E11" si="1">COUNTIF(F3:AI3,"A")</f>
        <v>4</v>
      </c>
      <c r="F3" t="s">
        <v>47</v>
      </c>
      <c r="G3" t="s">
        <v>48</v>
      </c>
      <c r="H3" t="s">
        <v>47</v>
      </c>
      <c r="I3" t="s">
        <v>47</v>
      </c>
      <c r="J3" t="s">
        <v>47</v>
      </c>
      <c r="K3" t="s">
        <v>47</v>
      </c>
      <c r="L3" t="s">
        <v>48</v>
      </c>
      <c r="M3" t="s">
        <v>47</v>
      </c>
      <c r="N3" t="s">
        <v>47</v>
      </c>
      <c r="O3" t="s">
        <v>47</v>
      </c>
      <c r="P3" t="s">
        <v>47</v>
      </c>
      <c r="Q3" t="s">
        <v>47</v>
      </c>
      <c r="R3" t="s">
        <v>47</v>
      </c>
      <c r="S3" t="s">
        <v>47</v>
      </c>
      <c r="T3" t="s">
        <v>47</v>
      </c>
      <c r="U3" t="s">
        <v>48</v>
      </c>
      <c r="V3" t="s">
        <v>47</v>
      </c>
      <c r="W3" t="s">
        <v>47</v>
      </c>
      <c r="X3" t="s">
        <v>48</v>
      </c>
      <c r="Y3" t="s">
        <v>47</v>
      </c>
      <c r="Z3" t="s">
        <v>47</v>
      </c>
      <c r="AA3" t="s">
        <v>47</v>
      </c>
      <c r="AB3" t="s">
        <v>47</v>
      </c>
      <c r="AC3" t="s">
        <v>47</v>
      </c>
      <c r="AD3" t="s">
        <v>47</v>
      </c>
      <c r="AE3" t="s">
        <v>47</v>
      </c>
      <c r="AF3" t="s">
        <v>47</v>
      </c>
      <c r="AG3" t="s">
        <v>47</v>
      </c>
      <c r="AH3" t="s">
        <v>47</v>
      </c>
      <c r="AI3" t="s">
        <v>47</v>
      </c>
    </row>
    <row r="4" spans="1:35" x14ac:dyDescent="0.25">
      <c r="A4">
        <v>3</v>
      </c>
      <c r="B4">
        <v>103</v>
      </c>
      <c r="C4" t="s">
        <v>39</v>
      </c>
      <c r="D4">
        <f t="shared" si="0"/>
        <v>26</v>
      </c>
      <c r="E4">
        <f t="shared" si="1"/>
        <v>4</v>
      </c>
      <c r="F4" t="s">
        <v>47</v>
      </c>
      <c r="G4" t="s">
        <v>47</v>
      </c>
      <c r="H4" t="s">
        <v>47</v>
      </c>
      <c r="I4" t="s">
        <v>47</v>
      </c>
      <c r="J4" t="s">
        <v>48</v>
      </c>
      <c r="K4" t="s">
        <v>47</v>
      </c>
      <c r="L4" t="s">
        <v>47</v>
      </c>
      <c r="M4" t="s">
        <v>47</v>
      </c>
      <c r="N4" t="s">
        <v>47</v>
      </c>
      <c r="O4" t="s">
        <v>47</v>
      </c>
      <c r="P4" t="s">
        <v>47</v>
      </c>
      <c r="Q4" t="s">
        <v>48</v>
      </c>
      <c r="R4" t="s">
        <v>47</v>
      </c>
      <c r="S4" t="s">
        <v>47</v>
      </c>
      <c r="T4" t="s">
        <v>47</v>
      </c>
      <c r="U4" t="s">
        <v>48</v>
      </c>
      <c r="V4" t="s">
        <v>47</v>
      </c>
      <c r="W4" t="s">
        <v>47</v>
      </c>
      <c r="X4" t="s">
        <v>47</v>
      </c>
      <c r="Y4" t="s">
        <v>47</v>
      </c>
      <c r="Z4" t="s">
        <v>48</v>
      </c>
      <c r="AA4" t="s">
        <v>47</v>
      </c>
      <c r="AB4" t="s">
        <v>47</v>
      </c>
      <c r="AC4" t="s">
        <v>47</v>
      </c>
      <c r="AD4" t="s">
        <v>47</v>
      </c>
      <c r="AE4" t="s">
        <v>47</v>
      </c>
      <c r="AF4" t="s">
        <v>47</v>
      </c>
      <c r="AG4" t="s">
        <v>47</v>
      </c>
      <c r="AH4" t="s">
        <v>47</v>
      </c>
      <c r="AI4" t="s">
        <v>47</v>
      </c>
    </row>
    <row r="5" spans="1:35" x14ac:dyDescent="0.25">
      <c r="A5">
        <v>4</v>
      </c>
      <c r="B5">
        <v>104</v>
      </c>
      <c r="C5" t="s">
        <v>40</v>
      </c>
      <c r="D5">
        <f t="shared" si="0"/>
        <v>24</v>
      </c>
      <c r="E5">
        <f t="shared" si="1"/>
        <v>6</v>
      </c>
      <c r="F5" t="s">
        <v>48</v>
      </c>
      <c r="G5" t="s">
        <v>47</v>
      </c>
      <c r="H5" t="s">
        <v>47</v>
      </c>
      <c r="I5" t="s">
        <v>47</v>
      </c>
      <c r="J5" t="s">
        <v>47</v>
      </c>
      <c r="K5" t="s">
        <v>47</v>
      </c>
      <c r="L5" t="s">
        <v>47</v>
      </c>
      <c r="M5" t="s">
        <v>47</v>
      </c>
      <c r="N5" t="s">
        <v>47</v>
      </c>
      <c r="O5" t="s">
        <v>47</v>
      </c>
      <c r="P5" t="s">
        <v>47</v>
      </c>
      <c r="Q5" t="s">
        <v>48</v>
      </c>
      <c r="R5" t="s">
        <v>47</v>
      </c>
      <c r="S5" t="s">
        <v>47</v>
      </c>
      <c r="T5" t="s">
        <v>47</v>
      </c>
      <c r="U5" t="s">
        <v>47</v>
      </c>
      <c r="V5" t="s">
        <v>48</v>
      </c>
      <c r="W5" t="s">
        <v>47</v>
      </c>
      <c r="X5" t="s">
        <v>47</v>
      </c>
      <c r="Y5" t="s">
        <v>47</v>
      </c>
      <c r="Z5" t="s">
        <v>47</v>
      </c>
      <c r="AA5" t="s">
        <v>47</v>
      </c>
      <c r="AB5" t="s">
        <v>47</v>
      </c>
      <c r="AC5" t="s">
        <v>48</v>
      </c>
      <c r="AD5" t="s">
        <v>47</v>
      </c>
      <c r="AE5" t="s">
        <v>47</v>
      </c>
      <c r="AF5" t="s">
        <v>47</v>
      </c>
      <c r="AG5" t="s">
        <v>48</v>
      </c>
      <c r="AH5" t="s">
        <v>48</v>
      </c>
      <c r="AI5" t="s">
        <v>47</v>
      </c>
    </row>
    <row r="6" spans="1:35" x14ac:dyDescent="0.25">
      <c r="A6">
        <v>5</v>
      </c>
      <c r="B6">
        <v>105</v>
      </c>
      <c r="C6" t="s">
        <v>41</v>
      </c>
      <c r="D6">
        <f t="shared" si="0"/>
        <v>22</v>
      </c>
      <c r="E6">
        <f t="shared" si="1"/>
        <v>8</v>
      </c>
      <c r="F6" t="s">
        <v>47</v>
      </c>
      <c r="G6" t="s">
        <v>47</v>
      </c>
      <c r="H6" t="s">
        <v>47</v>
      </c>
      <c r="I6" t="s">
        <v>47</v>
      </c>
      <c r="J6" t="s">
        <v>47</v>
      </c>
      <c r="K6" t="s">
        <v>47</v>
      </c>
      <c r="L6" t="s">
        <v>47</v>
      </c>
      <c r="M6" t="s">
        <v>47</v>
      </c>
      <c r="N6" t="s">
        <v>48</v>
      </c>
      <c r="O6" t="s">
        <v>47</v>
      </c>
      <c r="P6" t="s">
        <v>47</v>
      </c>
      <c r="Q6" t="s">
        <v>47</v>
      </c>
      <c r="R6" t="s">
        <v>48</v>
      </c>
      <c r="S6" t="s">
        <v>48</v>
      </c>
      <c r="T6" t="s">
        <v>47</v>
      </c>
      <c r="U6" t="s">
        <v>47</v>
      </c>
      <c r="V6" t="s">
        <v>48</v>
      </c>
      <c r="W6" t="s">
        <v>48</v>
      </c>
      <c r="X6" t="s">
        <v>47</v>
      </c>
      <c r="Y6" t="s">
        <v>47</v>
      </c>
      <c r="Z6" t="s">
        <v>47</v>
      </c>
      <c r="AA6" t="s">
        <v>48</v>
      </c>
      <c r="AB6" t="s">
        <v>47</v>
      </c>
      <c r="AC6" t="s">
        <v>47</v>
      </c>
      <c r="AD6" t="s">
        <v>47</v>
      </c>
      <c r="AE6" t="s">
        <v>48</v>
      </c>
      <c r="AF6" t="s">
        <v>47</v>
      </c>
      <c r="AG6" t="s">
        <v>47</v>
      </c>
      <c r="AH6" t="s">
        <v>47</v>
      </c>
      <c r="AI6" t="s">
        <v>48</v>
      </c>
    </row>
    <row r="7" spans="1:35" x14ac:dyDescent="0.25">
      <c r="A7">
        <v>6</v>
      </c>
      <c r="B7">
        <v>106</v>
      </c>
      <c r="C7" t="s">
        <v>42</v>
      </c>
      <c r="D7">
        <f t="shared" si="0"/>
        <v>23</v>
      </c>
      <c r="E7">
        <f t="shared" si="1"/>
        <v>7</v>
      </c>
      <c r="F7" t="s">
        <v>47</v>
      </c>
      <c r="G7" t="s">
        <v>48</v>
      </c>
      <c r="H7" t="s">
        <v>47</v>
      </c>
      <c r="I7" t="s">
        <v>48</v>
      </c>
      <c r="J7" t="s">
        <v>47</v>
      </c>
      <c r="K7" t="s">
        <v>47</v>
      </c>
      <c r="L7" t="s">
        <v>47</v>
      </c>
      <c r="M7" t="s">
        <v>47</v>
      </c>
      <c r="N7" t="s">
        <v>48</v>
      </c>
      <c r="O7" t="s">
        <v>47</v>
      </c>
      <c r="P7" t="s">
        <v>47</v>
      </c>
      <c r="Q7" t="s">
        <v>47</v>
      </c>
      <c r="R7" t="s">
        <v>47</v>
      </c>
      <c r="S7" t="s">
        <v>47</v>
      </c>
      <c r="T7" t="s">
        <v>48</v>
      </c>
      <c r="U7" t="s">
        <v>47</v>
      </c>
      <c r="V7" t="s">
        <v>47</v>
      </c>
      <c r="W7" t="s">
        <v>47</v>
      </c>
      <c r="X7" t="s">
        <v>48</v>
      </c>
      <c r="Y7" t="s">
        <v>47</v>
      </c>
      <c r="Z7" t="s">
        <v>47</v>
      </c>
      <c r="AA7" t="s">
        <v>47</v>
      </c>
      <c r="AB7" t="s">
        <v>47</v>
      </c>
      <c r="AC7" t="s">
        <v>48</v>
      </c>
      <c r="AD7" t="s">
        <v>47</v>
      </c>
      <c r="AE7" t="s">
        <v>47</v>
      </c>
      <c r="AF7" t="s">
        <v>47</v>
      </c>
      <c r="AG7" t="s">
        <v>47</v>
      </c>
      <c r="AH7" t="s">
        <v>47</v>
      </c>
      <c r="AI7" t="s">
        <v>48</v>
      </c>
    </row>
    <row r="8" spans="1:35" x14ac:dyDescent="0.25">
      <c r="A8">
        <v>7</v>
      </c>
      <c r="B8">
        <v>107</v>
      </c>
      <c r="C8" t="s">
        <v>43</v>
      </c>
      <c r="D8">
        <f t="shared" si="0"/>
        <v>29</v>
      </c>
      <c r="E8">
        <f t="shared" si="1"/>
        <v>1</v>
      </c>
      <c r="F8" t="s">
        <v>47</v>
      </c>
      <c r="G8" t="s">
        <v>47</v>
      </c>
      <c r="H8" t="s">
        <v>47</v>
      </c>
      <c r="I8" t="s">
        <v>47</v>
      </c>
      <c r="J8" t="s">
        <v>47</v>
      </c>
      <c r="K8" t="s">
        <v>47</v>
      </c>
      <c r="L8" t="s">
        <v>47</v>
      </c>
      <c r="M8" t="s">
        <v>47</v>
      </c>
      <c r="N8" t="s">
        <v>47</v>
      </c>
      <c r="O8" t="s">
        <v>47</v>
      </c>
      <c r="P8" t="s">
        <v>47</v>
      </c>
      <c r="Q8" t="s">
        <v>47</v>
      </c>
      <c r="R8" t="s">
        <v>47</v>
      </c>
      <c r="S8" t="s">
        <v>47</v>
      </c>
      <c r="T8" t="s">
        <v>47</v>
      </c>
      <c r="U8" t="s">
        <v>47</v>
      </c>
      <c r="V8" t="s">
        <v>47</v>
      </c>
      <c r="W8" t="s">
        <v>47</v>
      </c>
      <c r="X8" t="s">
        <v>47</v>
      </c>
      <c r="Y8" t="s">
        <v>47</v>
      </c>
      <c r="Z8" t="s">
        <v>47</v>
      </c>
      <c r="AA8" t="s">
        <v>48</v>
      </c>
      <c r="AB8" t="s">
        <v>47</v>
      </c>
      <c r="AC8" t="s">
        <v>47</v>
      </c>
      <c r="AD8" t="s">
        <v>47</v>
      </c>
      <c r="AE8" t="s">
        <v>47</v>
      </c>
      <c r="AF8" t="s">
        <v>47</v>
      </c>
      <c r="AG8" t="s">
        <v>47</v>
      </c>
      <c r="AH8" t="s">
        <v>47</v>
      </c>
      <c r="AI8" t="s">
        <v>47</v>
      </c>
    </row>
    <row r="9" spans="1:35" x14ac:dyDescent="0.25">
      <c r="A9">
        <v>8</v>
      </c>
      <c r="B9">
        <v>108</v>
      </c>
      <c r="C9" t="s">
        <v>44</v>
      </c>
      <c r="D9">
        <f t="shared" si="0"/>
        <v>24</v>
      </c>
      <c r="E9">
        <f t="shared" si="1"/>
        <v>6</v>
      </c>
      <c r="F9" t="s">
        <v>47</v>
      </c>
      <c r="G9" t="s">
        <v>47</v>
      </c>
      <c r="H9" t="s">
        <v>48</v>
      </c>
      <c r="I9" t="s">
        <v>47</v>
      </c>
      <c r="J9" t="s">
        <v>47</v>
      </c>
      <c r="K9" t="s">
        <v>47</v>
      </c>
      <c r="L9" t="s">
        <v>47</v>
      </c>
      <c r="M9" t="s">
        <v>48</v>
      </c>
      <c r="N9" t="s">
        <v>47</v>
      </c>
      <c r="O9" t="s">
        <v>47</v>
      </c>
      <c r="P9" t="s">
        <v>47</v>
      </c>
      <c r="Q9" t="s">
        <v>47</v>
      </c>
      <c r="R9" t="s">
        <v>48</v>
      </c>
      <c r="S9" t="s">
        <v>47</v>
      </c>
      <c r="T9" t="s">
        <v>47</v>
      </c>
      <c r="U9" t="s">
        <v>47</v>
      </c>
      <c r="V9" t="s">
        <v>48</v>
      </c>
      <c r="W9" t="s">
        <v>47</v>
      </c>
      <c r="X9" t="s">
        <v>47</v>
      </c>
      <c r="Y9" t="s">
        <v>47</v>
      </c>
      <c r="Z9" t="s">
        <v>47</v>
      </c>
      <c r="AA9" t="s">
        <v>47</v>
      </c>
      <c r="AB9" t="s">
        <v>48</v>
      </c>
      <c r="AC9" t="s">
        <v>47</v>
      </c>
      <c r="AD9" t="s">
        <v>47</v>
      </c>
      <c r="AE9" t="s">
        <v>47</v>
      </c>
      <c r="AF9" t="s">
        <v>47</v>
      </c>
      <c r="AG9" t="s">
        <v>48</v>
      </c>
      <c r="AH9" t="s">
        <v>47</v>
      </c>
      <c r="AI9" t="s">
        <v>47</v>
      </c>
    </row>
    <row r="10" spans="1:35" x14ac:dyDescent="0.25">
      <c r="A10">
        <v>9</v>
      </c>
      <c r="B10">
        <v>109</v>
      </c>
      <c r="C10" t="s">
        <v>45</v>
      </c>
      <c r="D10">
        <f t="shared" si="0"/>
        <v>26</v>
      </c>
      <c r="E10">
        <f t="shared" si="1"/>
        <v>4</v>
      </c>
      <c r="F10" t="s">
        <v>47</v>
      </c>
      <c r="G10" t="s">
        <v>47</v>
      </c>
      <c r="H10" t="s">
        <v>47</v>
      </c>
      <c r="I10" t="s">
        <v>47</v>
      </c>
      <c r="J10" t="s">
        <v>47</v>
      </c>
      <c r="K10" t="s">
        <v>48</v>
      </c>
      <c r="L10" t="s">
        <v>47</v>
      </c>
      <c r="M10" t="s">
        <v>47</v>
      </c>
      <c r="N10" t="s">
        <v>47</v>
      </c>
      <c r="O10" t="s">
        <v>47</v>
      </c>
      <c r="P10" t="s">
        <v>47</v>
      </c>
      <c r="Q10" t="s">
        <v>47</v>
      </c>
      <c r="R10" t="s">
        <v>47</v>
      </c>
      <c r="S10" t="s">
        <v>47</v>
      </c>
      <c r="T10" t="s">
        <v>47</v>
      </c>
      <c r="U10" t="s">
        <v>47</v>
      </c>
      <c r="V10" t="s">
        <v>48</v>
      </c>
      <c r="W10" t="s">
        <v>47</v>
      </c>
      <c r="X10" t="s">
        <v>47</v>
      </c>
      <c r="Y10" t="s">
        <v>47</v>
      </c>
      <c r="Z10" t="s">
        <v>48</v>
      </c>
      <c r="AA10" t="s">
        <v>47</v>
      </c>
      <c r="AB10" t="s">
        <v>47</v>
      </c>
      <c r="AC10" t="s">
        <v>47</v>
      </c>
      <c r="AD10" t="s">
        <v>47</v>
      </c>
      <c r="AE10" t="s">
        <v>47</v>
      </c>
      <c r="AF10" t="s">
        <v>47</v>
      </c>
      <c r="AG10" t="s">
        <v>47</v>
      </c>
      <c r="AH10" t="s">
        <v>48</v>
      </c>
      <c r="AI10" t="s">
        <v>47</v>
      </c>
    </row>
    <row r="11" spans="1:35" x14ac:dyDescent="0.25">
      <c r="A11">
        <v>10</v>
      </c>
      <c r="B11">
        <v>110</v>
      </c>
      <c r="C11" t="s">
        <v>46</v>
      </c>
      <c r="D11">
        <f t="shared" si="0"/>
        <v>30</v>
      </c>
      <c r="E11">
        <f t="shared" si="1"/>
        <v>0</v>
      </c>
      <c r="F11" t="s">
        <v>47</v>
      </c>
      <c r="G11" t="s">
        <v>47</v>
      </c>
      <c r="H11" t="s">
        <v>47</v>
      </c>
      <c r="I11" t="s">
        <v>47</v>
      </c>
      <c r="J11" t="s">
        <v>47</v>
      </c>
      <c r="K11" t="s">
        <v>47</v>
      </c>
      <c r="L11" t="s">
        <v>47</v>
      </c>
      <c r="M11" t="s">
        <v>47</v>
      </c>
      <c r="N11" t="s">
        <v>47</v>
      </c>
      <c r="O11" t="s">
        <v>47</v>
      </c>
      <c r="P11" t="s">
        <v>47</v>
      </c>
      <c r="Q11" t="s">
        <v>47</v>
      </c>
      <c r="R11" t="s">
        <v>47</v>
      </c>
      <c r="S11" t="s">
        <v>47</v>
      </c>
      <c r="T11" t="s">
        <v>47</v>
      </c>
      <c r="U11" t="s">
        <v>47</v>
      </c>
      <c r="V11" t="s">
        <v>47</v>
      </c>
      <c r="W11" t="s">
        <v>47</v>
      </c>
      <c r="X11" t="s">
        <v>47</v>
      </c>
      <c r="Y11" t="s">
        <v>47</v>
      </c>
      <c r="Z11" t="s">
        <v>47</v>
      </c>
      <c r="AA11" t="s">
        <v>47</v>
      </c>
      <c r="AB11" t="s">
        <v>47</v>
      </c>
      <c r="AC11" t="s">
        <v>47</v>
      </c>
      <c r="AD11" t="s">
        <v>47</v>
      </c>
      <c r="AE11" t="s">
        <v>47</v>
      </c>
      <c r="AF11" t="s">
        <v>47</v>
      </c>
      <c r="AG11" t="s">
        <v>47</v>
      </c>
      <c r="AH11" t="s">
        <v>47</v>
      </c>
      <c r="AI11" t="s">
        <v>47</v>
      </c>
    </row>
  </sheetData>
  <conditionalFormatting sqref="F2:AI11">
    <cfRule type="cellIs" dxfId="1" priority="1" operator="notEqual">
      <formula>"P"</formula>
    </cfRule>
    <cfRule type="cellIs" dxfId="0" priority="2" operator="equal">
      <formula>"P"</formula>
    </cfRule>
  </conditionalFormatting>
  <dataValidations count="1">
    <dataValidation type="list" allowBlank="1" showInputMessage="1" showErrorMessage="1" error="Enter P for Present_x000a_Enter A fro Absent" prompt="Enter P for Present_x000a_Enter A fro Absent" sqref="F2:AI11">
      <formula1>"P,A"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Sheet1</vt:lpstr>
      <vt:lpstr>Sheet3</vt:lpstr>
      <vt:lpstr>Sheet4</vt:lpstr>
      <vt:lpstr>Sheet2</vt:lpstr>
      <vt:lpstr>CE</vt:lpstr>
      <vt:lpstr>ICT</vt:lpstr>
      <vt:lpstr>IT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2026-03-02T04:47:37Z</dcterms:created>
  <dcterms:modified xsi:type="dcterms:W3CDTF">2026-03-09T05:33:45Z</dcterms:modified>
</cp:coreProperties>
</file>