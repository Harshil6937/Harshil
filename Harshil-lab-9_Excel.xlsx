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D:\HARSHIL VADGASIYA\"/>
    </mc:Choice>
  </mc:AlternateContent>
  <bookViews>
    <workbookView xWindow="0" yWindow="0" windowWidth="28800" windowHeight="12915"/>
  </bookViews>
  <sheets>
    <sheet name="Sheet1" sheetId="1" r:id="rId1"/>
    <sheet name="Sheet4" sheetId="4" r:id="rId2"/>
    <sheet name="Sheet2" sheetId="2" r:id="rId3"/>
  </sheets>
  <definedNames>
    <definedName name="A">Sheet1!$WUC$19</definedName>
    <definedName name="AU">Sheet1!$VUW$19</definedName>
  </definedNames>
  <calcPr calcId="162913"/>
  <pivotCaches>
    <pivotCache cacheId="19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I5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I4" i="1"/>
  <c r="I3" i="1"/>
  <c r="I2" i="1"/>
</calcChain>
</file>

<file path=xl/sharedStrings.xml><?xml version="1.0" encoding="utf-8"?>
<sst xmlns="http://schemas.openxmlformats.org/spreadsheetml/2006/main" count="156" uniqueCount="74">
  <si>
    <t>Name</t>
  </si>
  <si>
    <t>Age</t>
  </si>
  <si>
    <t>Department</t>
  </si>
  <si>
    <t>Salary</t>
  </si>
  <si>
    <t>Experience</t>
  </si>
  <si>
    <t>Sales</t>
  </si>
  <si>
    <t>Harshil</t>
  </si>
  <si>
    <t>Jay</t>
  </si>
  <si>
    <t>Savan</t>
  </si>
  <si>
    <t>Shyam</t>
  </si>
  <si>
    <t>Vraj</t>
  </si>
  <si>
    <t>Om</t>
  </si>
  <si>
    <t>Kishan</t>
  </si>
  <si>
    <t>Kunj</t>
  </si>
  <si>
    <t>Jaimin</t>
  </si>
  <si>
    <t>Denish</t>
  </si>
  <si>
    <t>Deep</t>
  </si>
  <si>
    <t>Nikhil</t>
  </si>
  <si>
    <t>Mayank</t>
  </si>
  <si>
    <t>Rudra</t>
  </si>
  <si>
    <t>Krish</t>
  </si>
  <si>
    <t>Virat</t>
  </si>
  <si>
    <t>Dhoni</t>
  </si>
  <si>
    <t>Rohit</t>
  </si>
  <si>
    <t>Manoj</t>
  </si>
  <si>
    <t>Darshan</t>
  </si>
  <si>
    <t>Jeel</t>
  </si>
  <si>
    <t>Arun</t>
  </si>
  <si>
    <t>Aryaraj</t>
  </si>
  <si>
    <t>Dharmraj</t>
  </si>
  <si>
    <t>Prince</t>
  </si>
  <si>
    <t>Haresh</t>
  </si>
  <si>
    <t>Bipin</t>
  </si>
  <si>
    <t>Vinod</t>
  </si>
  <si>
    <t>Adarsh</t>
  </si>
  <si>
    <t>Rutvik</t>
  </si>
  <si>
    <t>Dharmik</t>
  </si>
  <si>
    <t>Milap</t>
  </si>
  <si>
    <t>Milan</t>
  </si>
  <si>
    <t>Ronak</t>
  </si>
  <si>
    <t>Hardik</t>
  </si>
  <si>
    <t>Shivam</t>
  </si>
  <si>
    <t>Sanju</t>
  </si>
  <si>
    <t>Ruturaj</t>
  </si>
  <si>
    <t>Ankit</t>
  </si>
  <si>
    <t>Jasmin</t>
  </si>
  <si>
    <t>Rushi</t>
  </si>
  <si>
    <t>Banty</t>
  </si>
  <si>
    <t>Umang</t>
  </si>
  <si>
    <t>Jeet</t>
  </si>
  <si>
    <t>Yash</t>
  </si>
  <si>
    <t>Mayur</t>
  </si>
  <si>
    <t>Madhav</t>
  </si>
  <si>
    <t>Karan</t>
  </si>
  <si>
    <t>Vihan</t>
  </si>
  <si>
    <t>Dhyey</t>
  </si>
  <si>
    <t>HR</t>
  </si>
  <si>
    <t>Finance</t>
  </si>
  <si>
    <t>Marketing</t>
  </si>
  <si>
    <t>Region</t>
  </si>
  <si>
    <t>Product</t>
  </si>
  <si>
    <t>North</t>
  </si>
  <si>
    <t>South</t>
  </si>
  <si>
    <t>East</t>
  </si>
  <si>
    <t>West</t>
  </si>
  <si>
    <t>Mobile</t>
  </si>
  <si>
    <t>Computer</t>
  </si>
  <si>
    <t>Laptop</t>
  </si>
  <si>
    <t>Row Labels</t>
  </si>
  <si>
    <t>Grand Total</t>
  </si>
  <si>
    <t>Sum of Sales</t>
  </si>
  <si>
    <t>Column Labels</t>
  </si>
  <si>
    <t>Functions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</si>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</sst>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Salary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Sheet1!$C$2:$C$51</c:f>
              <c:strCache>
                <c:ptCount val="50"/>
                <c:pt idx="0">
                  <c:v>Sales</c:v>
                </c:pt>
                <c:pt idx="1">
                  <c:v>HR</c:v>
                </c:pt>
                <c:pt idx="2">
                  <c:v>Finance</c:v>
                </c:pt>
                <c:pt idx="3">
                  <c:v>Sales</c:v>
                </c:pt>
                <c:pt idx="4">
                  <c:v>HR</c:v>
                </c:pt>
                <c:pt idx="5">
                  <c:v>Finance</c:v>
                </c:pt>
                <c:pt idx="6">
                  <c:v>Marketing</c:v>
                </c:pt>
                <c:pt idx="7">
                  <c:v>HR</c:v>
                </c:pt>
                <c:pt idx="8">
                  <c:v>Finance</c:v>
                </c:pt>
                <c:pt idx="9">
                  <c:v>Marketing</c:v>
                </c:pt>
                <c:pt idx="10">
                  <c:v>Finance</c:v>
                </c:pt>
                <c:pt idx="11">
                  <c:v>Sales</c:v>
                </c:pt>
                <c:pt idx="12">
                  <c:v>HR</c:v>
                </c:pt>
                <c:pt idx="13">
                  <c:v>Marketing</c:v>
                </c:pt>
                <c:pt idx="14">
                  <c:v>Finance</c:v>
                </c:pt>
                <c:pt idx="15">
                  <c:v>HR</c:v>
                </c:pt>
                <c:pt idx="16">
                  <c:v>HR</c:v>
                </c:pt>
                <c:pt idx="17">
                  <c:v>Sales</c:v>
                </c:pt>
                <c:pt idx="18">
                  <c:v>Finance</c:v>
                </c:pt>
                <c:pt idx="19">
                  <c:v>HR</c:v>
                </c:pt>
                <c:pt idx="20">
                  <c:v>Marketing</c:v>
                </c:pt>
                <c:pt idx="21">
                  <c:v>HR</c:v>
                </c:pt>
                <c:pt idx="22">
                  <c:v>Finance</c:v>
                </c:pt>
                <c:pt idx="23">
                  <c:v>Sales</c:v>
                </c:pt>
                <c:pt idx="24">
                  <c:v>Marketing</c:v>
                </c:pt>
                <c:pt idx="25">
                  <c:v>Finance</c:v>
                </c:pt>
                <c:pt idx="26">
                  <c:v>Marketing</c:v>
                </c:pt>
                <c:pt idx="27">
                  <c:v>Sales</c:v>
                </c:pt>
                <c:pt idx="28">
                  <c:v>Finance</c:v>
                </c:pt>
                <c:pt idx="29">
                  <c:v>Sales</c:v>
                </c:pt>
                <c:pt idx="30">
                  <c:v>HR</c:v>
                </c:pt>
                <c:pt idx="31">
                  <c:v>Finance</c:v>
                </c:pt>
                <c:pt idx="32">
                  <c:v>HR</c:v>
                </c:pt>
                <c:pt idx="33">
                  <c:v>Marketing</c:v>
                </c:pt>
                <c:pt idx="34">
                  <c:v>Finance</c:v>
                </c:pt>
                <c:pt idx="35">
                  <c:v>HR</c:v>
                </c:pt>
                <c:pt idx="36">
                  <c:v>Marketing</c:v>
                </c:pt>
                <c:pt idx="37">
                  <c:v>Finance</c:v>
                </c:pt>
                <c:pt idx="38">
                  <c:v>HR</c:v>
                </c:pt>
                <c:pt idx="39">
                  <c:v>Marketing</c:v>
                </c:pt>
                <c:pt idx="40">
                  <c:v>Finance</c:v>
                </c:pt>
                <c:pt idx="41">
                  <c:v>Marketing</c:v>
                </c:pt>
                <c:pt idx="42">
                  <c:v>Finance</c:v>
                </c:pt>
                <c:pt idx="43">
                  <c:v>Marketing</c:v>
                </c:pt>
                <c:pt idx="44">
                  <c:v>Finance</c:v>
                </c:pt>
                <c:pt idx="45">
                  <c:v>Finance</c:v>
                </c:pt>
                <c:pt idx="46">
                  <c:v>HR</c:v>
                </c:pt>
                <c:pt idx="47">
                  <c:v>Sales</c:v>
                </c:pt>
                <c:pt idx="48">
                  <c:v>Finance</c:v>
                </c:pt>
                <c:pt idx="49">
                  <c:v>HR</c:v>
                </c:pt>
              </c:strCache>
            </c:strRef>
          </c:cat>
          <c:val>
            <c:numRef>
              <c:f>Sheet1!$D$2:$D$51</c:f>
              <c:numCache>
                <c:formatCode>General</c:formatCode>
                <c:ptCount val="50"/>
                <c:pt idx="0">
                  <c:v>150000</c:v>
                </c:pt>
                <c:pt idx="1">
                  <c:v>16000</c:v>
                </c:pt>
                <c:pt idx="2">
                  <c:v>25000</c:v>
                </c:pt>
                <c:pt idx="3">
                  <c:v>45000</c:v>
                </c:pt>
                <c:pt idx="4">
                  <c:v>33000</c:v>
                </c:pt>
                <c:pt idx="5">
                  <c:v>56000</c:v>
                </c:pt>
                <c:pt idx="6">
                  <c:v>10000</c:v>
                </c:pt>
                <c:pt idx="7">
                  <c:v>20000</c:v>
                </c:pt>
                <c:pt idx="8">
                  <c:v>30000</c:v>
                </c:pt>
                <c:pt idx="9">
                  <c:v>22000</c:v>
                </c:pt>
                <c:pt idx="10">
                  <c:v>32000</c:v>
                </c:pt>
                <c:pt idx="11">
                  <c:v>52000</c:v>
                </c:pt>
                <c:pt idx="12">
                  <c:v>33000</c:v>
                </c:pt>
                <c:pt idx="13">
                  <c:v>22500</c:v>
                </c:pt>
                <c:pt idx="14">
                  <c:v>33500</c:v>
                </c:pt>
                <c:pt idx="15">
                  <c:v>34000</c:v>
                </c:pt>
                <c:pt idx="16">
                  <c:v>33000</c:v>
                </c:pt>
                <c:pt idx="17">
                  <c:v>38750</c:v>
                </c:pt>
                <c:pt idx="18">
                  <c:v>41950</c:v>
                </c:pt>
                <c:pt idx="19">
                  <c:v>45150</c:v>
                </c:pt>
                <c:pt idx="20">
                  <c:v>48350</c:v>
                </c:pt>
                <c:pt idx="21">
                  <c:v>51550</c:v>
                </c:pt>
                <c:pt idx="22">
                  <c:v>54750</c:v>
                </c:pt>
                <c:pt idx="23">
                  <c:v>57950</c:v>
                </c:pt>
                <c:pt idx="24">
                  <c:v>61150</c:v>
                </c:pt>
                <c:pt idx="25">
                  <c:v>64350</c:v>
                </c:pt>
                <c:pt idx="26">
                  <c:v>67550</c:v>
                </c:pt>
                <c:pt idx="27">
                  <c:v>70750</c:v>
                </c:pt>
                <c:pt idx="28">
                  <c:v>73950</c:v>
                </c:pt>
                <c:pt idx="29">
                  <c:v>77150</c:v>
                </c:pt>
                <c:pt idx="30">
                  <c:v>80350</c:v>
                </c:pt>
                <c:pt idx="31">
                  <c:v>83550</c:v>
                </c:pt>
                <c:pt idx="32">
                  <c:v>86750</c:v>
                </c:pt>
                <c:pt idx="33">
                  <c:v>89950</c:v>
                </c:pt>
                <c:pt idx="34">
                  <c:v>93150</c:v>
                </c:pt>
                <c:pt idx="35">
                  <c:v>96350</c:v>
                </c:pt>
                <c:pt idx="36">
                  <c:v>99550</c:v>
                </c:pt>
                <c:pt idx="37">
                  <c:v>102750</c:v>
                </c:pt>
                <c:pt idx="38">
                  <c:v>105950</c:v>
                </c:pt>
                <c:pt idx="39">
                  <c:v>109150</c:v>
                </c:pt>
                <c:pt idx="40">
                  <c:v>112350</c:v>
                </c:pt>
                <c:pt idx="41">
                  <c:v>115550</c:v>
                </c:pt>
                <c:pt idx="42">
                  <c:v>118750</c:v>
                </c:pt>
                <c:pt idx="43">
                  <c:v>121950</c:v>
                </c:pt>
                <c:pt idx="44">
                  <c:v>125150</c:v>
                </c:pt>
                <c:pt idx="45">
                  <c:v>128350</c:v>
                </c:pt>
                <c:pt idx="46">
                  <c:v>131550</c:v>
                </c:pt>
                <c:pt idx="47">
                  <c:v>134750</c:v>
                </c:pt>
                <c:pt idx="48">
                  <c:v>137950</c:v>
                </c:pt>
                <c:pt idx="49">
                  <c:v>141150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72-412E-8144-DB80044BC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171103"/>
        <c:axId val="22178175"/>
      </c:barChart>
      <c:catAx>
        <c:axId val="2217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78175"/>
        <c:crosses val="autoZero"/>
        <c:auto val="1"/>
        <c:lblAlgn val="ctr"/>
        <c:lblOffset val="100"/>
        <c:noMultiLvlLbl val="0"/>
      </c:catAx>
      <c:valAx>
        <c:axId val="2217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7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174300087489069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78031496062992"/>
          <c:y val="0.19486111111111112"/>
          <c:w val="0.85219685039370074"/>
          <c:h val="0.59692876932050165"/>
        </c:manualLayout>
      </c:layout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Salary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Sheet1!$C$2:$C$21</c:f>
              <c:strCache>
                <c:ptCount val="20"/>
                <c:pt idx="0">
                  <c:v>Sales</c:v>
                </c:pt>
                <c:pt idx="1">
                  <c:v>HR</c:v>
                </c:pt>
                <c:pt idx="2">
                  <c:v>Finance</c:v>
                </c:pt>
                <c:pt idx="3">
                  <c:v>Sales</c:v>
                </c:pt>
                <c:pt idx="4">
                  <c:v>HR</c:v>
                </c:pt>
                <c:pt idx="5">
                  <c:v>Finance</c:v>
                </c:pt>
                <c:pt idx="6">
                  <c:v>Marketing</c:v>
                </c:pt>
                <c:pt idx="7">
                  <c:v>HR</c:v>
                </c:pt>
                <c:pt idx="8">
                  <c:v>Finance</c:v>
                </c:pt>
                <c:pt idx="9">
                  <c:v>Marketing</c:v>
                </c:pt>
                <c:pt idx="10">
                  <c:v>Finance</c:v>
                </c:pt>
                <c:pt idx="11">
                  <c:v>Sales</c:v>
                </c:pt>
                <c:pt idx="12">
                  <c:v>HR</c:v>
                </c:pt>
                <c:pt idx="13">
                  <c:v>Marketing</c:v>
                </c:pt>
                <c:pt idx="14">
                  <c:v>Finance</c:v>
                </c:pt>
                <c:pt idx="15">
                  <c:v>HR</c:v>
                </c:pt>
                <c:pt idx="16">
                  <c:v>HR</c:v>
                </c:pt>
                <c:pt idx="17">
                  <c:v>Sales</c:v>
                </c:pt>
                <c:pt idx="18">
                  <c:v>Finance</c:v>
                </c:pt>
                <c:pt idx="19">
                  <c:v>HR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150000</c:v>
                </c:pt>
                <c:pt idx="1">
                  <c:v>16000</c:v>
                </c:pt>
                <c:pt idx="2">
                  <c:v>25000</c:v>
                </c:pt>
                <c:pt idx="3">
                  <c:v>45000</c:v>
                </c:pt>
                <c:pt idx="4">
                  <c:v>33000</c:v>
                </c:pt>
                <c:pt idx="5">
                  <c:v>56000</c:v>
                </c:pt>
                <c:pt idx="6">
                  <c:v>10000</c:v>
                </c:pt>
                <c:pt idx="7">
                  <c:v>20000</c:v>
                </c:pt>
                <c:pt idx="8">
                  <c:v>30000</c:v>
                </c:pt>
                <c:pt idx="9">
                  <c:v>22000</c:v>
                </c:pt>
                <c:pt idx="10">
                  <c:v>32000</c:v>
                </c:pt>
                <c:pt idx="11">
                  <c:v>52000</c:v>
                </c:pt>
                <c:pt idx="12">
                  <c:v>33000</c:v>
                </c:pt>
                <c:pt idx="13">
                  <c:v>22500</c:v>
                </c:pt>
                <c:pt idx="14">
                  <c:v>33500</c:v>
                </c:pt>
                <c:pt idx="15">
                  <c:v>34000</c:v>
                </c:pt>
                <c:pt idx="16">
                  <c:v>33000</c:v>
                </c:pt>
                <c:pt idx="17">
                  <c:v>38750</c:v>
                </c:pt>
                <c:pt idx="18">
                  <c:v>41950</c:v>
                </c:pt>
                <c:pt idx="19">
                  <c:v>45150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FD-4B1C-A376-933C595421C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762303"/>
        <c:axId val="7768543"/>
      </c:lineChart>
      <c:catAx>
        <c:axId val="776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8543"/>
        <c:crosses val="autoZero"/>
        <c:auto val="1"/>
        <c:lblAlgn val="ctr"/>
        <c:lblOffset val="100"/>
        <c:noMultiLvlLbl val="0"/>
      </c:catAx>
      <c:valAx>
        <c:axId val="776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2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[Harshil-lab-9_Excel.xlsx]Sheet4!PivotTable2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86-494D-871A-CD39A4B2F7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86-494D-871A-CD39A4B2F75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86-494D-871A-CD39A4B2F75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86-494D-871A-CD39A4B2F7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87000</c:v>
                </c:pt>
                <c:pt idx="1">
                  <c:v>42000</c:v>
                </c:pt>
                <c:pt idx="2">
                  <c:v>64000</c:v>
                </c:pt>
                <c:pt idx="3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A2-409D-8ABD-6BFFE47D221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Sheet2!$C$1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7CB-45BD-B655-B7AAC707BF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7CB-45BD-B655-B7AAC707BF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7CB-45BD-B655-B7AAC707BFD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7CB-45BD-B655-B7AAC707BFD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7CB-45BD-B655-B7AAC707BFD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7CB-45BD-B655-B7AAC707BFD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7CB-45BD-B655-B7AAC707BFD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E7CB-45BD-B655-B7AAC707BFD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E7CB-45BD-B655-B7AAC707BFD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E7CB-45BD-B655-B7AAC707BFD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Sheet2!$A$2:$B$11</c:f>
              <c:multiLvlStrCache>
                <c:ptCount val="10"/>
                <c:lvl>
                  <c:pt idx="0">
                    <c:v>Mobile</c:v>
                  </c:pt>
                  <c:pt idx="1">
                    <c:v>Computer</c:v>
                  </c:pt>
                  <c:pt idx="2">
                    <c:v>Laptop</c:v>
                  </c:pt>
                  <c:pt idx="3">
                    <c:v>Computer</c:v>
                  </c:pt>
                  <c:pt idx="4">
                    <c:v>Laptop</c:v>
                  </c:pt>
                  <c:pt idx="5">
                    <c:v>Mobile</c:v>
                  </c:pt>
                  <c:pt idx="6">
                    <c:v>Laptop</c:v>
                  </c:pt>
                  <c:pt idx="7">
                    <c:v>Laptop</c:v>
                  </c:pt>
                  <c:pt idx="8">
                    <c:v>Mobile</c:v>
                  </c:pt>
                  <c:pt idx="9">
                    <c:v>Computer</c:v>
                  </c:pt>
                </c:lvl>
                <c:lvl>
                  <c:pt idx="0">
                    <c:v>North</c:v>
                  </c:pt>
                  <c:pt idx="1">
                    <c:v>South</c:v>
                  </c:pt>
                  <c:pt idx="2">
                    <c:v>East</c:v>
                  </c:pt>
                  <c:pt idx="3">
                    <c:v>North</c:v>
                  </c:pt>
                  <c:pt idx="4">
                    <c:v>East</c:v>
                  </c:pt>
                  <c:pt idx="5">
                    <c:v>West</c:v>
                  </c:pt>
                  <c:pt idx="6">
                    <c:v>West</c:v>
                  </c:pt>
                  <c:pt idx="7">
                    <c:v>South</c:v>
                  </c:pt>
                  <c:pt idx="8">
                    <c:v>South</c:v>
                  </c:pt>
                  <c:pt idx="9">
                    <c:v>East</c:v>
                  </c:pt>
                </c:lvl>
              </c:multiLvlStrCache>
            </c:multiLvlStrRef>
          </c:cat>
          <c:val>
            <c:numRef>
              <c:f>Sheet2!$C$2:$C$11</c:f>
              <c:numCache>
                <c:formatCode>General</c:formatCode>
                <c:ptCount val="10"/>
                <c:pt idx="0">
                  <c:v>18000</c:v>
                </c:pt>
                <c:pt idx="1">
                  <c:v>25000</c:v>
                </c:pt>
                <c:pt idx="2">
                  <c:v>32000</c:v>
                </c:pt>
                <c:pt idx="3">
                  <c:v>24000</c:v>
                </c:pt>
                <c:pt idx="4">
                  <c:v>30000</c:v>
                </c:pt>
                <c:pt idx="5">
                  <c:v>18000</c:v>
                </c:pt>
                <c:pt idx="6">
                  <c:v>22000</c:v>
                </c:pt>
                <c:pt idx="7">
                  <c:v>20000</c:v>
                </c:pt>
                <c:pt idx="8">
                  <c:v>19000</c:v>
                </c:pt>
                <c:pt idx="9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BD-4834-A00A-4A684D77803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351691</xdr:colOff>
      <xdr:row>0</xdr:row>
      <xdr:rowOff>53486</xdr:rowOff>
    </xdr:from>
    <xdr:to>
      <xdr:col>21</xdr:col>
      <xdr:colOff>58614</xdr:colOff>
      <xdr:row>14</xdr:row>
      <xdr:rowOff>129686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315058</xdr:colOff>
      <xdr:row>15</xdr:row>
      <xdr:rowOff>38833</xdr:rowOff>
    </xdr:from>
    <xdr:to>
      <xdr:col>21</xdr:col>
      <xdr:colOff>21981</xdr:colOff>
      <xdr:row>29</xdr:row>
      <xdr:rowOff>115033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571499</xdr:colOff>
      <xdr:row>3</xdr:row>
      <xdr:rowOff>100012</xdr:rowOff>
    </xdr:from>
    <xdr:to>
      <xdr:col>20</xdr:col>
      <xdr:colOff>561974</xdr:colOff>
      <xdr:row>24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54428</xdr:colOff>
      <xdr:row>1</xdr:row>
      <xdr:rowOff>73478</xdr:rowOff>
    </xdr:from>
    <xdr:to>
      <xdr:col>13</xdr:col>
      <xdr:colOff>489857</xdr:colOff>
      <xdr:row>15</xdr:row>
      <xdr:rowOff>149678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tudent" refreshedDate="46069.442844097219" createdVersion="6" refreshedVersion="6" minRefreshableVersion="3" recordCount="10">
  <cacheSource type="worksheet">
    <worksheetSource ref="A1:C11" sheet="Sheet2"/>
  </cacheSource>
  <cacheFields count="3">
    <cacheField name="Region" numFmtId="0">
      <sharedItems count="4">
        <s v="North"/>
        <s v="South"/>
        <s v="East"/>
        <s v="West"/>
      </sharedItems>
    </cacheField>
    <cacheField name="Product" numFmtId="0">
      <sharedItems count="3">
        <s v="Mobile"/>
        <s v="Computer"/>
        <s v="Laptop"/>
      </sharedItems>
    </cacheField>
    <cacheField name="Sales" numFmtId="0">
      <sharedItems containsSemiMixedTypes="0" containsString="0" containsNumber="1" containsInteger="1" minValue="18000" maxValue="3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  <n v="18000"/>
  </r>
  <r>
    <x v="1"/>
    <x v="1"/>
    <n v="25000"/>
  </r>
  <r>
    <x v="2"/>
    <x v="2"/>
    <n v="32000"/>
  </r>
  <r>
    <x v="0"/>
    <x v="1"/>
    <n v="24000"/>
  </r>
  <r>
    <x v="2"/>
    <x v="2"/>
    <n v="30000"/>
  </r>
  <r>
    <x v="3"/>
    <x v="0"/>
    <n v="18000"/>
  </r>
  <r>
    <x v="3"/>
    <x v="2"/>
    <n v="22000"/>
  </r>
  <r>
    <x v="1"/>
    <x v="2"/>
    <n v="20000"/>
  </r>
  <r>
    <x v="1"/>
    <x v="0"/>
    <n v="19000"/>
  </r>
  <r>
    <x v="2"/>
    <x v="1"/>
    <n v="2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21:G26" firstHeaderRow="1" firstDataRow="2" firstDataCol="1"/>
  <pivotFields count="3">
    <pivotField axis="axisCol" showAll="0">
      <items count="5">
        <item x="2"/>
        <item x="0"/>
        <item x="1"/>
        <item x="3"/>
        <item t="default"/>
      </items>
    </pivotField>
    <pivotField axis="axisRow" showAll="0">
      <items count="4">
        <item x="1"/>
        <item x="2"/>
        <item x="0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2:B16" firstHeaderRow="1" firstDataRow="1" firstDataCol="1"/>
  <pivotFields count="3">
    <pivotField showAll="0"/>
    <pivotField axis="axisRow" showAll="0">
      <items count="4">
        <item x="1"/>
        <item x="2"/>
        <item x="0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1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B8" firstHeaderRow="1" firstDataRow="1" firstDataCol="1"/>
  <pivotFields count="3"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2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abSelected="1" zoomScale="130" zoomScaleNormal="130" workbookViewId="0">
      <selection activeCell="G2" sqref="G2"/>
    </sheetView>
  </sheetViews>
  <sheetFormatPr defaultRowHeight="15" x14ac:dyDescent="0.25"/>
  <cols>
    <col min="1" max="1" width="15.28515625" customWidth="1"/>
    <col min="3" max="3" width="11.7109375" bestFit="1" customWidth="1"/>
    <col min="5" max="5" width="10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73</v>
      </c>
      <c r="H1" t="s">
        <v>72</v>
      </c>
    </row>
    <row r="2" spans="1:9" x14ac:dyDescent="0.25">
      <c r="A2" t="s">
        <v>6</v>
      </c>
      <c r="B2">
        <v>18</v>
      </c>
      <c r="C2" t="s">
        <v>5</v>
      </c>
      <c r="D2">
        <v>150000</v>
      </c>
      <c r="E2">
        <v>1</v>
      </c>
      <c r="F2">
        <v>120000</v>
      </c>
      <c r="G2" t="b">
        <f>IF(F2&lt;=200,"Poor",IF(F2&lt;=500,"Average",IF(F2&lt;=800,"Good",IF(F2&lt;=1000,"Distinction"))))</f>
        <v>0</v>
      </c>
      <c r="H2">
        <v>1</v>
      </c>
      <c r="I2">
        <f>COUNT(E2:E51)</f>
        <v>50</v>
      </c>
    </row>
    <row r="3" spans="1:9" x14ac:dyDescent="0.25">
      <c r="A3" t="s">
        <v>7</v>
      </c>
      <c r="B3">
        <v>17</v>
      </c>
      <c r="C3" t="s">
        <v>56</v>
      </c>
      <c r="D3">
        <v>16000</v>
      </c>
      <c r="E3">
        <v>4</v>
      </c>
      <c r="F3">
        <v>85000</v>
      </c>
      <c r="G3" t="b">
        <f t="shared" ref="G3:G51" si="0">IF(F3&lt;=200,"Poor",IF(F3&lt;=500,"Average",IF(F3&lt;=800,"Good",IF(F3&lt;=1000,"Distinction"))))</f>
        <v>0</v>
      </c>
      <c r="H3">
        <v>2</v>
      </c>
      <c r="I3">
        <f>COUNTIF(C2:C51,"Finance")</f>
        <v>17</v>
      </c>
    </row>
    <row r="4" spans="1:9" x14ac:dyDescent="0.25">
      <c r="A4" t="s">
        <v>8</v>
      </c>
      <c r="B4">
        <v>18</v>
      </c>
      <c r="C4" t="s">
        <v>57</v>
      </c>
      <c r="D4">
        <v>25000</v>
      </c>
      <c r="E4">
        <v>3</v>
      </c>
      <c r="F4">
        <v>20000</v>
      </c>
      <c r="G4" t="b">
        <f t="shared" si="0"/>
        <v>0</v>
      </c>
      <c r="H4">
        <v>3</v>
      </c>
      <c r="I4">
        <f>SUMIF(C2:C51,"Marketing",D2:D51)</f>
        <v>767700</v>
      </c>
    </row>
    <row r="5" spans="1:9" x14ac:dyDescent="0.25">
      <c r="A5" t="s">
        <v>9</v>
      </c>
      <c r="B5">
        <v>19</v>
      </c>
      <c r="C5" t="s">
        <v>5</v>
      </c>
      <c r="D5">
        <v>45000</v>
      </c>
      <c r="E5">
        <v>2</v>
      </c>
      <c r="F5">
        <v>50000</v>
      </c>
      <c r="G5" t="b">
        <f t="shared" si="0"/>
        <v>0</v>
      </c>
      <c r="H5">
        <v>4</v>
      </c>
      <c r="I5">
        <f>COUNTIF(E2:E51,"&lt;8")</f>
        <v>41</v>
      </c>
    </row>
    <row r="6" spans="1:9" x14ac:dyDescent="0.25">
      <c r="A6" t="s">
        <v>10</v>
      </c>
      <c r="B6">
        <v>15</v>
      </c>
      <c r="C6" t="s">
        <v>56</v>
      </c>
      <c r="D6">
        <v>33000</v>
      </c>
      <c r="E6">
        <v>5</v>
      </c>
      <c r="F6">
        <v>41000</v>
      </c>
      <c r="G6" t="b">
        <f t="shared" si="0"/>
        <v>0</v>
      </c>
    </row>
    <row r="7" spans="1:9" x14ac:dyDescent="0.25">
      <c r="A7" t="s">
        <v>11</v>
      </c>
      <c r="B7">
        <v>14</v>
      </c>
      <c r="C7" t="s">
        <v>57</v>
      </c>
      <c r="D7">
        <v>56000</v>
      </c>
      <c r="E7">
        <v>3</v>
      </c>
      <c r="F7">
        <v>75000</v>
      </c>
      <c r="G7" t="b">
        <f t="shared" si="0"/>
        <v>0</v>
      </c>
    </row>
    <row r="8" spans="1:9" x14ac:dyDescent="0.25">
      <c r="A8" t="s">
        <v>12</v>
      </c>
      <c r="B8">
        <v>19</v>
      </c>
      <c r="C8" t="s">
        <v>58</v>
      </c>
      <c r="D8">
        <v>10000</v>
      </c>
      <c r="E8">
        <v>2</v>
      </c>
      <c r="F8">
        <v>25000</v>
      </c>
      <c r="G8" t="b">
        <f t="shared" si="0"/>
        <v>0</v>
      </c>
    </row>
    <row r="9" spans="1:9" x14ac:dyDescent="0.25">
      <c r="A9" t="s">
        <v>13</v>
      </c>
      <c r="B9">
        <v>14</v>
      </c>
      <c r="C9" t="s">
        <v>56</v>
      </c>
      <c r="D9">
        <v>20000</v>
      </c>
      <c r="E9">
        <v>4</v>
      </c>
      <c r="F9">
        <v>33000</v>
      </c>
      <c r="G9" t="b">
        <f t="shared" si="0"/>
        <v>0</v>
      </c>
    </row>
    <row r="10" spans="1:9" x14ac:dyDescent="0.25">
      <c r="A10" t="s">
        <v>14</v>
      </c>
      <c r="B10">
        <v>12</v>
      </c>
      <c r="C10" t="s">
        <v>57</v>
      </c>
      <c r="D10">
        <v>30000</v>
      </c>
      <c r="E10">
        <v>6</v>
      </c>
      <c r="F10">
        <v>12000</v>
      </c>
      <c r="G10" t="b">
        <f t="shared" si="0"/>
        <v>0</v>
      </c>
    </row>
    <row r="11" spans="1:9" x14ac:dyDescent="0.25">
      <c r="A11" t="s">
        <v>15</v>
      </c>
      <c r="B11">
        <v>19</v>
      </c>
      <c r="C11" t="s">
        <v>58</v>
      </c>
      <c r="D11">
        <v>22000</v>
      </c>
      <c r="E11">
        <v>8</v>
      </c>
      <c r="F11">
        <v>32000</v>
      </c>
      <c r="G11" t="b">
        <f t="shared" si="0"/>
        <v>0</v>
      </c>
    </row>
    <row r="12" spans="1:9" x14ac:dyDescent="0.25">
      <c r="A12" t="s">
        <v>16</v>
      </c>
      <c r="B12">
        <v>20</v>
      </c>
      <c r="C12" t="s">
        <v>57</v>
      </c>
      <c r="D12">
        <v>32000</v>
      </c>
      <c r="E12">
        <v>9</v>
      </c>
      <c r="F12">
        <v>52000</v>
      </c>
      <c r="G12" t="b">
        <f t="shared" si="0"/>
        <v>0</v>
      </c>
    </row>
    <row r="13" spans="1:9" x14ac:dyDescent="0.25">
      <c r="A13" t="s">
        <v>17</v>
      </c>
      <c r="B13">
        <v>21</v>
      </c>
      <c r="C13" t="s">
        <v>5</v>
      </c>
      <c r="D13">
        <v>52000</v>
      </c>
      <c r="E13">
        <v>2</v>
      </c>
      <c r="F13">
        <v>42000</v>
      </c>
      <c r="G13" t="b">
        <f t="shared" si="0"/>
        <v>0</v>
      </c>
    </row>
    <row r="14" spans="1:9" x14ac:dyDescent="0.25">
      <c r="A14" t="s">
        <v>18</v>
      </c>
      <c r="B14">
        <v>22</v>
      </c>
      <c r="C14" t="s">
        <v>56</v>
      </c>
      <c r="D14">
        <v>33000</v>
      </c>
      <c r="E14">
        <v>3</v>
      </c>
      <c r="F14">
        <v>62000</v>
      </c>
      <c r="G14" t="b">
        <f t="shared" si="0"/>
        <v>0</v>
      </c>
    </row>
    <row r="15" spans="1:9" x14ac:dyDescent="0.25">
      <c r="A15" t="s">
        <v>19</v>
      </c>
      <c r="B15">
        <v>16</v>
      </c>
      <c r="C15" t="s">
        <v>58</v>
      </c>
      <c r="D15">
        <v>22500</v>
      </c>
      <c r="E15">
        <v>5</v>
      </c>
      <c r="F15">
        <v>72000</v>
      </c>
      <c r="G15" t="b">
        <f t="shared" si="0"/>
        <v>0</v>
      </c>
    </row>
    <row r="16" spans="1:9" x14ac:dyDescent="0.25">
      <c r="A16" t="s">
        <v>20</v>
      </c>
      <c r="B16">
        <v>17</v>
      </c>
      <c r="C16" t="s">
        <v>57</v>
      </c>
      <c r="D16">
        <v>33500</v>
      </c>
      <c r="E16">
        <v>4</v>
      </c>
      <c r="F16">
        <v>12000</v>
      </c>
      <c r="G16" t="b">
        <f t="shared" si="0"/>
        <v>0</v>
      </c>
    </row>
    <row r="17" spans="1:7" x14ac:dyDescent="0.25">
      <c r="A17" t="s">
        <v>21</v>
      </c>
      <c r="B17">
        <v>35</v>
      </c>
      <c r="C17" t="s">
        <v>56</v>
      </c>
      <c r="D17">
        <v>34000</v>
      </c>
      <c r="E17">
        <v>6</v>
      </c>
      <c r="F17">
        <v>11000</v>
      </c>
      <c r="G17" t="b">
        <f t="shared" si="0"/>
        <v>0</v>
      </c>
    </row>
    <row r="18" spans="1:7" x14ac:dyDescent="0.25">
      <c r="A18" t="s">
        <v>22</v>
      </c>
      <c r="B18">
        <v>44</v>
      </c>
      <c r="C18" t="s">
        <v>56</v>
      </c>
      <c r="D18">
        <v>33000</v>
      </c>
      <c r="E18">
        <v>2</v>
      </c>
      <c r="F18">
        <v>10000</v>
      </c>
      <c r="G18" t="b">
        <f t="shared" si="0"/>
        <v>0</v>
      </c>
    </row>
    <row r="19" spans="1:7" x14ac:dyDescent="0.25">
      <c r="A19" t="s">
        <v>23</v>
      </c>
      <c r="B19">
        <v>38</v>
      </c>
      <c r="C19" t="s">
        <v>5</v>
      </c>
      <c r="D19">
        <v>38750</v>
      </c>
      <c r="E19">
        <v>1</v>
      </c>
      <c r="F19">
        <v>52000</v>
      </c>
      <c r="G19" t="b">
        <f t="shared" si="0"/>
        <v>0</v>
      </c>
    </row>
    <row r="20" spans="1:7" x14ac:dyDescent="0.25">
      <c r="A20" t="s">
        <v>24</v>
      </c>
      <c r="B20">
        <v>34</v>
      </c>
      <c r="C20" t="s">
        <v>57</v>
      </c>
      <c r="D20">
        <v>41950</v>
      </c>
      <c r="E20">
        <v>8</v>
      </c>
      <c r="F20">
        <v>43000</v>
      </c>
      <c r="G20" t="b">
        <f t="shared" si="0"/>
        <v>0</v>
      </c>
    </row>
    <row r="21" spans="1:7" x14ac:dyDescent="0.25">
      <c r="A21" t="s">
        <v>25</v>
      </c>
      <c r="B21">
        <v>20</v>
      </c>
      <c r="C21" t="s">
        <v>56</v>
      </c>
      <c r="D21">
        <v>45150</v>
      </c>
      <c r="E21">
        <v>5</v>
      </c>
      <c r="F21">
        <v>63000</v>
      </c>
      <c r="G21" t="b">
        <f t="shared" si="0"/>
        <v>0</v>
      </c>
    </row>
    <row r="22" spans="1:7" x14ac:dyDescent="0.25">
      <c r="A22" t="s">
        <v>26</v>
      </c>
      <c r="B22">
        <v>17</v>
      </c>
      <c r="C22" t="s">
        <v>58</v>
      </c>
      <c r="D22">
        <v>48350</v>
      </c>
      <c r="E22">
        <v>7</v>
      </c>
      <c r="F22">
        <v>92000</v>
      </c>
      <c r="G22" t="b">
        <f t="shared" si="0"/>
        <v>0</v>
      </c>
    </row>
    <row r="23" spans="1:7" x14ac:dyDescent="0.25">
      <c r="A23" t="s">
        <v>27</v>
      </c>
      <c r="B23">
        <v>19</v>
      </c>
      <c r="C23" t="s">
        <v>56</v>
      </c>
      <c r="D23">
        <v>51550</v>
      </c>
      <c r="E23">
        <v>2</v>
      </c>
      <c r="F23">
        <v>42000</v>
      </c>
      <c r="G23" t="b">
        <f t="shared" si="0"/>
        <v>0</v>
      </c>
    </row>
    <row r="24" spans="1:7" x14ac:dyDescent="0.25">
      <c r="A24" t="s">
        <v>28</v>
      </c>
      <c r="B24">
        <v>17</v>
      </c>
      <c r="C24" t="s">
        <v>57</v>
      </c>
      <c r="D24">
        <v>54750</v>
      </c>
      <c r="E24">
        <v>3</v>
      </c>
      <c r="F24">
        <v>32000</v>
      </c>
      <c r="G24" t="b">
        <f t="shared" si="0"/>
        <v>0</v>
      </c>
    </row>
    <row r="25" spans="1:7" x14ac:dyDescent="0.25">
      <c r="A25" t="s">
        <v>29</v>
      </c>
      <c r="B25">
        <v>18</v>
      </c>
      <c r="C25" t="s">
        <v>5</v>
      </c>
      <c r="D25">
        <v>57950</v>
      </c>
      <c r="E25">
        <v>6</v>
      </c>
      <c r="F25">
        <v>12000</v>
      </c>
      <c r="G25" t="b">
        <f t="shared" si="0"/>
        <v>0</v>
      </c>
    </row>
    <row r="26" spans="1:7" x14ac:dyDescent="0.25">
      <c r="A26" t="s">
        <v>30</v>
      </c>
      <c r="B26">
        <v>15</v>
      </c>
      <c r="C26" t="s">
        <v>58</v>
      </c>
      <c r="D26">
        <v>61150</v>
      </c>
      <c r="E26">
        <v>4</v>
      </c>
      <c r="F26">
        <v>15000</v>
      </c>
      <c r="G26" t="b">
        <f t="shared" si="0"/>
        <v>0</v>
      </c>
    </row>
    <row r="27" spans="1:7" x14ac:dyDescent="0.25">
      <c r="A27" t="s">
        <v>31</v>
      </c>
      <c r="B27">
        <v>29</v>
      </c>
      <c r="C27" t="s">
        <v>57</v>
      </c>
      <c r="D27">
        <v>64350</v>
      </c>
      <c r="E27">
        <v>5</v>
      </c>
      <c r="F27">
        <v>19000</v>
      </c>
      <c r="G27" t="b">
        <f t="shared" si="0"/>
        <v>0</v>
      </c>
    </row>
    <row r="28" spans="1:7" x14ac:dyDescent="0.25">
      <c r="A28" t="s">
        <v>32</v>
      </c>
      <c r="B28">
        <v>36</v>
      </c>
      <c r="C28" t="s">
        <v>58</v>
      </c>
      <c r="D28">
        <v>67550</v>
      </c>
      <c r="E28">
        <v>9</v>
      </c>
      <c r="F28">
        <v>17000</v>
      </c>
      <c r="G28" t="b">
        <f t="shared" si="0"/>
        <v>0</v>
      </c>
    </row>
    <row r="29" spans="1:7" x14ac:dyDescent="0.25">
      <c r="A29" t="s">
        <v>33</v>
      </c>
      <c r="B29">
        <v>40</v>
      </c>
      <c r="C29" t="s">
        <v>5</v>
      </c>
      <c r="D29">
        <v>70750</v>
      </c>
      <c r="E29">
        <v>8</v>
      </c>
      <c r="F29">
        <v>15000</v>
      </c>
      <c r="G29" t="b">
        <f t="shared" si="0"/>
        <v>0</v>
      </c>
    </row>
    <row r="30" spans="1:7" x14ac:dyDescent="0.25">
      <c r="A30" t="s">
        <v>34</v>
      </c>
      <c r="B30">
        <v>26</v>
      </c>
      <c r="C30" t="s">
        <v>57</v>
      </c>
      <c r="D30">
        <v>73950</v>
      </c>
      <c r="E30">
        <v>5</v>
      </c>
      <c r="F30">
        <v>92000</v>
      </c>
      <c r="G30" t="b">
        <f t="shared" si="0"/>
        <v>0</v>
      </c>
    </row>
    <row r="31" spans="1:7" x14ac:dyDescent="0.25">
      <c r="A31" t="s">
        <v>35</v>
      </c>
      <c r="B31">
        <v>21</v>
      </c>
      <c r="C31" t="s">
        <v>5</v>
      </c>
      <c r="D31">
        <v>77150</v>
      </c>
      <c r="E31">
        <v>6</v>
      </c>
      <c r="F31">
        <v>45000</v>
      </c>
      <c r="G31" t="b">
        <f t="shared" si="0"/>
        <v>0</v>
      </c>
    </row>
    <row r="32" spans="1:7" x14ac:dyDescent="0.25">
      <c r="A32" t="s">
        <v>36</v>
      </c>
      <c r="B32">
        <v>20</v>
      </c>
      <c r="C32" t="s">
        <v>56</v>
      </c>
      <c r="D32">
        <v>80350</v>
      </c>
      <c r="E32">
        <v>2</v>
      </c>
      <c r="F32">
        <v>57000</v>
      </c>
      <c r="G32" t="b">
        <f t="shared" si="0"/>
        <v>0</v>
      </c>
    </row>
    <row r="33" spans="1:7" x14ac:dyDescent="0.25">
      <c r="A33" t="s">
        <v>37</v>
      </c>
      <c r="B33">
        <v>24</v>
      </c>
      <c r="C33" t="s">
        <v>57</v>
      </c>
      <c r="D33">
        <v>83550</v>
      </c>
      <c r="E33">
        <v>3</v>
      </c>
      <c r="F33">
        <v>59000</v>
      </c>
      <c r="G33" t="b">
        <f t="shared" si="0"/>
        <v>0</v>
      </c>
    </row>
    <row r="34" spans="1:7" x14ac:dyDescent="0.25">
      <c r="A34" t="s">
        <v>38</v>
      </c>
      <c r="B34">
        <v>30</v>
      </c>
      <c r="C34" t="s">
        <v>56</v>
      </c>
      <c r="D34">
        <v>86750</v>
      </c>
      <c r="E34">
        <v>4</v>
      </c>
      <c r="F34">
        <v>69000</v>
      </c>
      <c r="G34" t="b">
        <f t="shared" si="0"/>
        <v>0</v>
      </c>
    </row>
    <row r="35" spans="1:7" x14ac:dyDescent="0.25">
      <c r="A35" t="s">
        <v>39</v>
      </c>
      <c r="B35">
        <v>21</v>
      </c>
      <c r="C35" t="s">
        <v>58</v>
      </c>
      <c r="D35">
        <v>89950</v>
      </c>
      <c r="E35">
        <v>5</v>
      </c>
      <c r="F35">
        <v>63000</v>
      </c>
      <c r="G35" t="b">
        <f t="shared" si="0"/>
        <v>0</v>
      </c>
    </row>
    <row r="36" spans="1:7" x14ac:dyDescent="0.25">
      <c r="A36" t="s">
        <v>40</v>
      </c>
      <c r="B36">
        <v>28</v>
      </c>
      <c r="C36" t="s">
        <v>57</v>
      </c>
      <c r="D36">
        <v>93150</v>
      </c>
      <c r="E36">
        <v>7</v>
      </c>
      <c r="F36">
        <v>20000</v>
      </c>
      <c r="G36" t="b">
        <f t="shared" si="0"/>
        <v>0</v>
      </c>
    </row>
    <row r="37" spans="1:7" x14ac:dyDescent="0.25">
      <c r="A37" t="s">
        <v>41</v>
      </c>
      <c r="B37">
        <v>25</v>
      </c>
      <c r="C37" t="s">
        <v>56</v>
      </c>
      <c r="D37">
        <v>96350</v>
      </c>
      <c r="E37">
        <v>8</v>
      </c>
      <c r="F37">
        <v>25000</v>
      </c>
      <c r="G37" t="b">
        <f t="shared" si="0"/>
        <v>0</v>
      </c>
    </row>
    <row r="38" spans="1:7" x14ac:dyDescent="0.25">
      <c r="A38" t="s">
        <v>42</v>
      </c>
      <c r="B38">
        <v>33</v>
      </c>
      <c r="C38" t="s">
        <v>58</v>
      </c>
      <c r="D38">
        <v>99550</v>
      </c>
      <c r="E38">
        <v>6</v>
      </c>
      <c r="F38">
        <v>52000</v>
      </c>
      <c r="G38" t="b">
        <f t="shared" si="0"/>
        <v>0</v>
      </c>
    </row>
    <row r="39" spans="1:7" x14ac:dyDescent="0.25">
      <c r="A39" t="s">
        <v>43</v>
      </c>
      <c r="B39">
        <v>32</v>
      </c>
      <c r="C39" t="s">
        <v>57</v>
      </c>
      <c r="D39">
        <v>102750</v>
      </c>
      <c r="E39">
        <v>9</v>
      </c>
      <c r="F39">
        <v>43000</v>
      </c>
      <c r="G39" t="b">
        <f t="shared" si="0"/>
        <v>0</v>
      </c>
    </row>
    <row r="40" spans="1:7" x14ac:dyDescent="0.25">
      <c r="A40" t="s">
        <v>44</v>
      </c>
      <c r="B40">
        <v>20</v>
      </c>
      <c r="C40" t="s">
        <v>56</v>
      </c>
      <c r="D40">
        <v>105950</v>
      </c>
      <c r="E40">
        <v>5</v>
      </c>
      <c r="F40">
        <v>32000</v>
      </c>
      <c r="G40" t="b">
        <f t="shared" si="0"/>
        <v>0</v>
      </c>
    </row>
    <row r="41" spans="1:7" x14ac:dyDescent="0.25">
      <c r="A41" t="s">
        <v>45</v>
      </c>
      <c r="B41">
        <v>19</v>
      </c>
      <c r="C41" t="s">
        <v>58</v>
      </c>
      <c r="D41">
        <v>109150</v>
      </c>
      <c r="E41">
        <v>2</v>
      </c>
      <c r="F41">
        <v>12000</v>
      </c>
      <c r="G41" t="b">
        <f t="shared" si="0"/>
        <v>0</v>
      </c>
    </row>
    <row r="42" spans="1:7" x14ac:dyDescent="0.25">
      <c r="A42" t="s">
        <v>46</v>
      </c>
      <c r="B42">
        <v>32</v>
      </c>
      <c r="C42" t="s">
        <v>57</v>
      </c>
      <c r="D42">
        <v>112350</v>
      </c>
      <c r="E42">
        <v>5</v>
      </c>
      <c r="F42">
        <v>7000</v>
      </c>
      <c r="G42" t="b">
        <f t="shared" si="0"/>
        <v>0</v>
      </c>
    </row>
    <row r="43" spans="1:7" x14ac:dyDescent="0.25">
      <c r="A43" t="s">
        <v>47</v>
      </c>
      <c r="B43">
        <v>30</v>
      </c>
      <c r="C43" t="s">
        <v>58</v>
      </c>
      <c r="D43">
        <v>115550</v>
      </c>
      <c r="E43">
        <v>3</v>
      </c>
      <c r="F43">
        <v>2000</v>
      </c>
      <c r="G43" t="b">
        <f t="shared" si="0"/>
        <v>0</v>
      </c>
    </row>
    <row r="44" spans="1:7" x14ac:dyDescent="0.25">
      <c r="A44" t="s">
        <v>48</v>
      </c>
      <c r="B44">
        <v>29</v>
      </c>
      <c r="C44" t="s">
        <v>57</v>
      </c>
      <c r="D44">
        <v>118750</v>
      </c>
      <c r="E44">
        <v>9</v>
      </c>
      <c r="F44">
        <v>62000</v>
      </c>
      <c r="G44" t="b">
        <f t="shared" si="0"/>
        <v>0</v>
      </c>
    </row>
    <row r="45" spans="1:7" x14ac:dyDescent="0.25">
      <c r="A45" t="s">
        <v>49</v>
      </c>
      <c r="B45">
        <v>40</v>
      </c>
      <c r="C45" t="s">
        <v>58</v>
      </c>
      <c r="D45">
        <v>121950</v>
      </c>
      <c r="E45">
        <v>3</v>
      </c>
      <c r="F45">
        <v>99000</v>
      </c>
      <c r="G45" t="b">
        <f t="shared" si="0"/>
        <v>0</v>
      </c>
    </row>
    <row r="46" spans="1:7" x14ac:dyDescent="0.25">
      <c r="A46" t="s">
        <v>50</v>
      </c>
      <c r="B46">
        <v>35</v>
      </c>
      <c r="C46" t="s">
        <v>57</v>
      </c>
      <c r="D46">
        <v>125150</v>
      </c>
      <c r="E46">
        <v>6</v>
      </c>
      <c r="F46">
        <v>6000</v>
      </c>
      <c r="G46" t="b">
        <f t="shared" si="0"/>
        <v>0</v>
      </c>
    </row>
    <row r="47" spans="1:7" x14ac:dyDescent="0.25">
      <c r="A47" t="s">
        <v>51</v>
      </c>
      <c r="B47">
        <v>36</v>
      </c>
      <c r="C47" t="s">
        <v>57</v>
      </c>
      <c r="D47">
        <v>128350</v>
      </c>
      <c r="E47">
        <v>5</v>
      </c>
      <c r="F47">
        <v>20010</v>
      </c>
      <c r="G47" t="b">
        <f t="shared" si="0"/>
        <v>0</v>
      </c>
    </row>
    <row r="48" spans="1:7" x14ac:dyDescent="0.25">
      <c r="A48" t="s">
        <v>52</v>
      </c>
      <c r="B48">
        <v>27</v>
      </c>
      <c r="C48" t="s">
        <v>56</v>
      </c>
      <c r="D48">
        <v>131550</v>
      </c>
      <c r="E48">
        <v>4</v>
      </c>
      <c r="F48">
        <v>12532</v>
      </c>
      <c r="G48" t="b">
        <f t="shared" si="0"/>
        <v>0</v>
      </c>
    </row>
    <row r="49" spans="1:7" x14ac:dyDescent="0.25">
      <c r="A49" t="s">
        <v>53</v>
      </c>
      <c r="B49">
        <v>28</v>
      </c>
      <c r="C49" t="s">
        <v>5</v>
      </c>
      <c r="D49">
        <v>134750</v>
      </c>
      <c r="E49">
        <v>2</v>
      </c>
      <c r="F49">
        <v>12456</v>
      </c>
      <c r="G49" t="b">
        <f t="shared" si="0"/>
        <v>0</v>
      </c>
    </row>
    <row r="50" spans="1:7" x14ac:dyDescent="0.25">
      <c r="A50" t="s">
        <v>54</v>
      </c>
      <c r="B50">
        <v>12</v>
      </c>
      <c r="C50" t="s">
        <v>57</v>
      </c>
      <c r="D50">
        <v>137950</v>
      </c>
      <c r="E50">
        <v>8</v>
      </c>
      <c r="F50">
        <v>12547</v>
      </c>
      <c r="G50" t="b">
        <f t="shared" si="0"/>
        <v>0</v>
      </c>
    </row>
    <row r="51" spans="1:7" x14ac:dyDescent="0.25">
      <c r="A51" t="s">
        <v>55</v>
      </c>
      <c r="B51">
        <v>11</v>
      </c>
      <c r="C51" t="s">
        <v>56</v>
      </c>
      <c r="D51">
        <v>141150</v>
      </c>
      <c r="E51">
        <v>6</v>
      </c>
      <c r="F51">
        <v>85253</v>
      </c>
      <c r="G51" t="b">
        <f t="shared" si="0"/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6"/>
  <sheetViews>
    <sheetView workbookViewId="0">
      <selection activeCell="J27" sqref="J27"/>
    </sheetView>
  </sheetViews>
  <sheetFormatPr defaultRowHeight="15" x14ac:dyDescent="0.25"/>
  <cols>
    <col min="1" max="2" width="13.140625" bestFit="1" customWidth="1"/>
    <col min="3" max="3" width="16.28515625" bestFit="1" customWidth="1"/>
    <col min="4" max="5" width="6.140625" bestFit="1" customWidth="1"/>
    <col min="7" max="7" width="11.28515625" bestFit="1" customWidth="1"/>
  </cols>
  <sheetData>
    <row r="3" spans="1:2" x14ac:dyDescent="0.25">
      <c r="A3" s="1" t="s">
        <v>68</v>
      </c>
      <c r="B3" t="s">
        <v>70</v>
      </c>
    </row>
    <row r="4" spans="1:2" x14ac:dyDescent="0.25">
      <c r="A4" s="2" t="s">
        <v>63</v>
      </c>
      <c r="B4" s="3">
        <v>87000</v>
      </c>
    </row>
    <row r="5" spans="1:2" x14ac:dyDescent="0.25">
      <c r="A5" s="2" t="s">
        <v>61</v>
      </c>
      <c r="B5" s="3">
        <v>42000</v>
      </c>
    </row>
    <row r="6" spans="1:2" x14ac:dyDescent="0.25">
      <c r="A6" s="2" t="s">
        <v>62</v>
      </c>
      <c r="B6" s="3">
        <v>64000</v>
      </c>
    </row>
    <row r="7" spans="1:2" x14ac:dyDescent="0.25">
      <c r="A7" s="2" t="s">
        <v>64</v>
      </c>
      <c r="B7" s="3">
        <v>40000</v>
      </c>
    </row>
    <row r="8" spans="1:2" x14ac:dyDescent="0.25">
      <c r="A8" s="2" t="s">
        <v>69</v>
      </c>
      <c r="B8" s="3">
        <v>233000</v>
      </c>
    </row>
    <row r="12" spans="1:2" x14ac:dyDescent="0.25">
      <c r="A12" s="1" t="s">
        <v>68</v>
      </c>
      <c r="B12" t="s">
        <v>70</v>
      </c>
    </row>
    <row r="13" spans="1:2" x14ac:dyDescent="0.25">
      <c r="A13" s="2" t="s">
        <v>66</v>
      </c>
      <c r="B13" s="3">
        <v>74000</v>
      </c>
    </row>
    <row r="14" spans="1:2" x14ac:dyDescent="0.25">
      <c r="A14" s="2" t="s">
        <v>67</v>
      </c>
      <c r="B14" s="3">
        <v>104000</v>
      </c>
    </row>
    <row r="15" spans="1:2" x14ac:dyDescent="0.25">
      <c r="A15" s="2" t="s">
        <v>65</v>
      </c>
      <c r="B15" s="3">
        <v>55000</v>
      </c>
    </row>
    <row r="16" spans="1:2" x14ac:dyDescent="0.25">
      <c r="A16" s="2" t="s">
        <v>69</v>
      </c>
      <c r="B16" s="3">
        <v>233000</v>
      </c>
    </row>
    <row r="21" spans="2:7" x14ac:dyDescent="0.25">
      <c r="B21" s="1" t="s">
        <v>70</v>
      </c>
      <c r="C21" s="1" t="s">
        <v>71</v>
      </c>
    </row>
    <row r="22" spans="2:7" x14ac:dyDescent="0.25">
      <c r="B22" s="1" t="s">
        <v>68</v>
      </c>
      <c r="C22" t="s">
        <v>63</v>
      </c>
      <c r="D22" t="s">
        <v>61</v>
      </c>
      <c r="E22" t="s">
        <v>62</v>
      </c>
      <c r="F22" t="s">
        <v>64</v>
      </c>
      <c r="G22" t="s">
        <v>69</v>
      </c>
    </row>
    <row r="23" spans="2:7" x14ac:dyDescent="0.25">
      <c r="B23" s="2" t="s">
        <v>66</v>
      </c>
      <c r="C23" s="3">
        <v>25000</v>
      </c>
      <c r="D23" s="3">
        <v>24000</v>
      </c>
      <c r="E23" s="3">
        <v>25000</v>
      </c>
      <c r="F23" s="3"/>
      <c r="G23" s="3">
        <v>74000</v>
      </c>
    </row>
    <row r="24" spans="2:7" x14ac:dyDescent="0.25">
      <c r="B24" s="2" t="s">
        <v>67</v>
      </c>
      <c r="C24" s="3">
        <v>62000</v>
      </c>
      <c r="D24" s="3"/>
      <c r="E24" s="3">
        <v>20000</v>
      </c>
      <c r="F24" s="3">
        <v>22000</v>
      </c>
      <c r="G24" s="3">
        <v>104000</v>
      </c>
    </row>
    <row r="25" spans="2:7" x14ac:dyDescent="0.25">
      <c r="B25" s="2" t="s">
        <v>65</v>
      </c>
      <c r="C25" s="3"/>
      <c r="D25" s="3">
        <v>18000</v>
      </c>
      <c r="E25" s="3">
        <v>19000</v>
      </c>
      <c r="F25" s="3">
        <v>18000</v>
      </c>
      <c r="G25" s="3">
        <v>55000</v>
      </c>
    </row>
    <row r="26" spans="2:7" x14ac:dyDescent="0.25">
      <c r="B26" s="2" t="s">
        <v>69</v>
      </c>
      <c r="C26" s="3">
        <v>87000</v>
      </c>
      <c r="D26" s="3">
        <v>42000</v>
      </c>
      <c r="E26" s="3">
        <v>64000</v>
      </c>
      <c r="F26" s="3">
        <v>40000</v>
      </c>
      <c r="G26" s="3">
        <v>233000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zoomScale="175" zoomScaleNormal="175" workbookViewId="0">
      <selection activeCell="D12" sqref="D12:D13"/>
    </sheetView>
  </sheetViews>
  <sheetFormatPr defaultRowHeight="15" x14ac:dyDescent="0.25"/>
  <cols>
    <col min="2" max="2" width="9.85546875" bestFit="1" customWidth="1"/>
    <col min="7" max="7" width="13.140625" bestFit="1" customWidth="1"/>
    <col min="8" max="8" width="16.28515625" bestFit="1" customWidth="1"/>
    <col min="9" max="11" width="6.28515625" customWidth="1"/>
    <col min="12" max="12" width="11.42578125" bestFit="1" customWidth="1"/>
  </cols>
  <sheetData>
    <row r="1" spans="1:3" x14ac:dyDescent="0.25">
      <c r="A1" t="s">
        <v>59</v>
      </c>
      <c r="B1" t="s">
        <v>60</v>
      </c>
      <c r="C1" t="s">
        <v>5</v>
      </c>
    </row>
    <row r="2" spans="1:3" x14ac:dyDescent="0.25">
      <c r="A2" t="s">
        <v>61</v>
      </c>
      <c r="B2" t="s">
        <v>65</v>
      </c>
      <c r="C2">
        <v>18000</v>
      </c>
    </row>
    <row r="3" spans="1:3" x14ac:dyDescent="0.25">
      <c r="A3" t="s">
        <v>62</v>
      </c>
      <c r="B3" t="s">
        <v>66</v>
      </c>
      <c r="C3">
        <v>25000</v>
      </c>
    </row>
    <row r="4" spans="1:3" x14ac:dyDescent="0.25">
      <c r="A4" t="s">
        <v>63</v>
      </c>
      <c r="B4" t="s">
        <v>67</v>
      </c>
      <c r="C4">
        <v>32000</v>
      </c>
    </row>
    <row r="5" spans="1:3" x14ac:dyDescent="0.25">
      <c r="A5" t="s">
        <v>61</v>
      </c>
      <c r="B5" t="s">
        <v>66</v>
      </c>
      <c r="C5">
        <v>24000</v>
      </c>
    </row>
    <row r="6" spans="1:3" x14ac:dyDescent="0.25">
      <c r="A6" t="s">
        <v>63</v>
      </c>
      <c r="B6" t="s">
        <v>67</v>
      </c>
      <c r="C6">
        <v>30000</v>
      </c>
    </row>
    <row r="7" spans="1:3" x14ac:dyDescent="0.25">
      <c r="A7" t="s">
        <v>64</v>
      </c>
      <c r="B7" t="s">
        <v>65</v>
      </c>
      <c r="C7">
        <v>18000</v>
      </c>
    </row>
    <row r="8" spans="1:3" x14ac:dyDescent="0.25">
      <c r="A8" t="s">
        <v>64</v>
      </c>
      <c r="B8" t="s">
        <v>67</v>
      </c>
      <c r="C8">
        <v>22000</v>
      </c>
    </row>
    <row r="9" spans="1:3" x14ac:dyDescent="0.25">
      <c r="A9" t="s">
        <v>62</v>
      </c>
      <c r="B9" t="s">
        <v>67</v>
      </c>
      <c r="C9">
        <v>20000</v>
      </c>
    </row>
    <row r="10" spans="1:3" x14ac:dyDescent="0.25">
      <c r="A10" t="s">
        <v>62</v>
      </c>
      <c r="B10" t="s">
        <v>65</v>
      </c>
      <c r="C10">
        <v>19000</v>
      </c>
    </row>
    <row r="11" spans="1:3" x14ac:dyDescent="0.25">
      <c r="A11" t="s">
        <v>63</v>
      </c>
      <c r="B11" t="s">
        <v>66</v>
      </c>
      <c r="C11">
        <v>25000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Sheet4</vt:lpstr>
      <vt:lpstr>Sheet2</vt:lpstr>
      <vt:lpstr>A</vt:lpstr>
      <vt:lpstr>AU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2026-02-16T04:36:35Z</dcterms:created>
  <dcterms:modified xsi:type="dcterms:W3CDTF">2026-02-26T10:02:36Z</dcterms:modified>
</cp:coreProperties>
</file>